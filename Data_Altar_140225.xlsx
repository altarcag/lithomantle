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tar\Desktop\project listhospheric mantle\"/>
    </mc:Choice>
  </mc:AlternateContent>
  <xr:revisionPtr revIDLastSave="0" documentId="13_ncr:1_{D64F5A87-1357-4242-A06F-9F2CCC8B99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s (13)" sheetId="1" r:id="rId1"/>
  </sheets>
  <calcPr calcId="181029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2" i="1"/>
  <c r="T3" i="1"/>
  <c r="T4" i="1"/>
  <c r="T5" i="1"/>
  <c r="T6" i="1"/>
  <c r="T7" i="1"/>
  <c r="T8" i="1"/>
  <c r="T9" i="1"/>
  <c r="T10" i="1"/>
  <c r="T11" i="1"/>
  <c r="T12" i="1"/>
  <c r="T13" i="1"/>
  <c r="T14" i="1"/>
  <c r="T2" i="1"/>
  <c r="U3" i="1"/>
  <c r="H17" i="1"/>
  <c r="S2" i="1"/>
  <c r="W3" i="1"/>
  <c r="W4" i="1"/>
  <c r="W5" i="1"/>
  <c r="W6" i="1"/>
  <c r="W7" i="1"/>
  <c r="W8" i="1"/>
  <c r="W9" i="1"/>
  <c r="W10" i="1"/>
  <c r="W11" i="1"/>
  <c r="W12" i="1"/>
  <c r="W13" i="1"/>
  <c r="W14" i="1"/>
  <c r="W2" i="1"/>
  <c r="U4" i="1"/>
  <c r="U5" i="1"/>
  <c r="U6" i="1"/>
  <c r="U7" i="1"/>
  <c r="U8" i="1"/>
  <c r="U9" i="1"/>
  <c r="U10" i="1"/>
  <c r="U11" i="1"/>
  <c r="U12" i="1"/>
  <c r="U13" i="1"/>
  <c r="U14" i="1"/>
  <c r="U2" i="1"/>
  <c r="V3" i="1"/>
  <c r="V4" i="1"/>
  <c r="V5" i="1"/>
  <c r="V6" i="1"/>
  <c r="V7" i="1"/>
  <c r="V8" i="1"/>
  <c r="V9" i="1"/>
  <c r="V10" i="1"/>
  <c r="V11" i="1"/>
  <c r="V12" i="1"/>
  <c r="V13" i="1"/>
  <c r="V14" i="1"/>
  <c r="V2" i="1"/>
  <c r="K17" i="1"/>
  <c r="S6" i="1"/>
  <c r="S10" i="1"/>
  <c r="S13" i="1"/>
  <c r="S14" i="1"/>
  <c r="I17" i="1"/>
  <c r="S3" i="1" s="1"/>
  <c r="S12" i="1" l="1"/>
  <c r="S8" i="1"/>
  <c r="S4" i="1"/>
  <c r="S9" i="1"/>
  <c r="S5" i="1"/>
  <c r="S11" i="1"/>
  <c r="S7" i="1"/>
</calcChain>
</file>

<file path=xl/sharedStrings.xml><?xml version="1.0" encoding="utf-8"?>
<sst xmlns="http://schemas.openxmlformats.org/spreadsheetml/2006/main" count="86" uniqueCount="42">
  <si>
    <t>ID</t>
  </si>
  <si>
    <t>Discard</t>
  </si>
  <si>
    <t>dateTimeMeasured</t>
  </si>
  <si>
    <t>Analyst</t>
  </si>
  <si>
    <t>MassSpectrometer</t>
  </si>
  <si>
    <t>SampleName</t>
  </si>
  <si>
    <t>SampleType</t>
  </si>
  <si>
    <t>d17O</t>
  </si>
  <si>
    <t>d18O</t>
  </si>
  <si>
    <t>d18OError</t>
  </si>
  <si>
    <t>CapD17O</t>
  </si>
  <si>
    <t>CapD17OError</t>
  </si>
  <si>
    <t>IntensityReference</t>
  </si>
  <si>
    <t>IntensitySample</t>
  </si>
  <si>
    <t>SampleMass</t>
  </si>
  <si>
    <t>TCDout</t>
  </si>
  <si>
    <t>No</t>
  </si>
  <si>
    <t>Tommaso Di Rocco</t>
  </si>
  <si>
    <t>MAT253Plus</t>
  </si>
  <si>
    <t>SanCarlos_pos01</t>
  </si>
  <si>
    <t>San Carlos Olivine (olivine): 0820M</t>
  </si>
  <si>
    <t>wholeD2004-11_pos11</t>
  </si>
  <si>
    <t xml:space="preserve">Mafic volcanics </t>
  </si>
  <si>
    <t>wholeD2004-3_pos04</t>
  </si>
  <si>
    <t>cpxD2004-12_pos10</t>
  </si>
  <si>
    <t>Clinopyroxene</t>
  </si>
  <si>
    <t>opxD2004-4_pos07</t>
  </si>
  <si>
    <t>Orthopyroxene</t>
  </si>
  <si>
    <t>cpxD2004-4_pos06</t>
  </si>
  <si>
    <t>SanCarlos_pos02</t>
  </si>
  <si>
    <t>cpxD2004-5_pos05</t>
  </si>
  <si>
    <t>olivineD2004-11_pos09</t>
  </si>
  <si>
    <t>Olivine</t>
  </si>
  <si>
    <t>olivineD2004-3_pos08</t>
  </si>
  <si>
    <t>SanCarlos_pos14</t>
  </si>
  <si>
    <t>SanCarlos_pos13</t>
  </si>
  <si>
    <t>SanCarlos_pos12</t>
  </si>
  <si>
    <t>cd18O</t>
  </si>
  <si>
    <t>d18p</t>
  </si>
  <si>
    <t>cCapD17</t>
  </si>
  <si>
    <t>cd17O</t>
  </si>
  <si>
    <t>d17p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</si>
</sst>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"/>
    <numFmt numFmtId="166" formatCode="#,##0.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tabSelected="1" topLeftCell="F1" zoomScaleNormal="100" workbookViewId="0">
      <selection activeCell="R6" sqref="R6"/>
    </sheetView>
  </sheetViews>
  <sheetFormatPr defaultColWidth="11" defaultRowHeight="15.75" x14ac:dyDescent="0.25"/>
  <cols>
    <col min="1" max="1" width="6.125" bestFit="1" customWidth="1"/>
    <col min="2" max="2" width="7.125" bestFit="1" customWidth="1"/>
    <col min="3" max="3" width="17.375" bestFit="1" customWidth="1"/>
    <col min="4" max="4" width="17" bestFit="1" customWidth="1"/>
    <col min="5" max="5" width="16.875" bestFit="1" customWidth="1"/>
    <col min="6" max="6" width="20.375" bestFit="1" customWidth="1"/>
    <col min="7" max="7" width="30.125" bestFit="1" customWidth="1"/>
    <col min="8" max="8" width="5.875" bestFit="1" customWidth="1"/>
    <col min="9" max="9" width="11.875" bestFit="1" customWidth="1"/>
    <col min="10" max="10" width="9.5" bestFit="1" customWidth="1"/>
    <col min="11" max="11" width="8.625" bestFit="1" customWidth="1"/>
    <col min="12" max="12" width="12.625" bestFit="1" customWidth="1"/>
    <col min="13" max="13" width="16.625" bestFit="1" customWidth="1"/>
    <col min="14" max="14" width="14.375" bestFit="1" customWidth="1"/>
    <col min="15" max="15" width="11.625" bestFit="1" customWidth="1"/>
    <col min="16" max="16" width="12.125" bestFit="1" customWidth="1"/>
    <col min="17" max="17" width="8.375" customWidth="1"/>
    <col min="18" max="18" width="7.625" customWidth="1"/>
    <col min="19" max="19" width="9.25" customWidth="1"/>
    <col min="20" max="20" width="12.875" customWidth="1"/>
    <col min="21" max="21" width="8.25" customWidth="1"/>
    <col min="22" max="22" width="14.25" customWidth="1"/>
    <col min="23" max="23" width="15.875" bestFit="1" customWidth="1"/>
    <col min="24" max="24" width="59.5" bestFit="1" customWidth="1"/>
    <col min="25" max="25" width="11.625" bestFit="1" customWidth="1"/>
    <col min="26" max="26" width="9" bestFit="1" customWidth="1"/>
    <col min="27" max="28" width="13.375" bestFit="1" customWidth="1"/>
    <col min="29" max="29" width="5.875" bestFit="1" customWidth="1"/>
    <col min="30" max="30" width="9.125" bestFit="1" customWidth="1"/>
    <col min="31" max="31" width="129.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40</v>
      </c>
      <c r="S1" t="s">
        <v>37</v>
      </c>
      <c r="T1" t="s">
        <v>41</v>
      </c>
      <c r="U1" t="s">
        <v>38</v>
      </c>
      <c r="V1" t="s">
        <v>39</v>
      </c>
    </row>
    <row r="2" spans="1:23" x14ac:dyDescent="0.25">
      <c r="A2">
        <v>18536</v>
      </c>
      <c r="B2" t="s">
        <v>16</v>
      </c>
      <c r="C2" s="1">
        <v>45702.533414351848</v>
      </c>
      <c r="D2" t="s">
        <v>17</v>
      </c>
      <c r="E2" t="s">
        <v>18</v>
      </c>
      <c r="F2" t="s">
        <v>19</v>
      </c>
      <c r="G2" t="s">
        <v>20</v>
      </c>
      <c r="H2">
        <v>2.7029999999999998</v>
      </c>
      <c r="I2">
        <v>5.2629999999999999</v>
      </c>
      <c r="J2">
        <v>2E-3</v>
      </c>
      <c r="K2">
        <v>-72</v>
      </c>
      <c r="L2">
        <v>4</v>
      </c>
      <c r="M2">
        <v>4994</v>
      </c>
      <c r="N2">
        <v>4983</v>
      </c>
      <c r="O2">
        <v>1.976</v>
      </c>
      <c r="P2">
        <v>49.319488578903901</v>
      </c>
      <c r="R2">
        <f>1000*(EXP(T2/1000)-1)</f>
        <v>2.7854016403816573</v>
      </c>
      <c r="S2" s="4">
        <f>I2-(I$17-S$19)</f>
        <v>5.3722000000000003</v>
      </c>
      <c r="T2">
        <f>U2*0.528+W2</f>
        <v>2.7815295976954739</v>
      </c>
      <c r="U2">
        <f>1000*LN(S2/1000+1)</f>
        <v>5.3578212077565794</v>
      </c>
      <c r="V2">
        <f>K2-(K$17-V$19)</f>
        <v>-47.400000000000006</v>
      </c>
      <c r="W2">
        <f>V2/1000</f>
        <v>-4.7400000000000005E-2</v>
      </c>
    </row>
    <row r="3" spans="1:23" x14ac:dyDescent="0.25">
      <c r="A3">
        <v>18535</v>
      </c>
      <c r="B3" t="s">
        <v>16</v>
      </c>
      <c r="C3" s="1">
        <v>45702.478344907409</v>
      </c>
      <c r="D3" t="s">
        <v>17</v>
      </c>
      <c r="E3" t="s">
        <v>18</v>
      </c>
      <c r="F3" t="s">
        <v>21</v>
      </c>
      <c r="G3" t="s">
        <v>22</v>
      </c>
      <c r="H3">
        <v>2.9510000000000001</v>
      </c>
      <c r="I3">
        <v>5.742</v>
      </c>
      <c r="J3">
        <v>2E-3</v>
      </c>
      <c r="K3">
        <v>-76</v>
      </c>
      <c r="L3">
        <v>4</v>
      </c>
      <c r="M3">
        <v>4966</v>
      </c>
      <c r="N3">
        <v>4963</v>
      </c>
      <c r="O3">
        <v>2.081</v>
      </c>
      <c r="P3">
        <v>46.304247289471</v>
      </c>
      <c r="R3">
        <f t="shared" ref="R3:R14" si="0">1000*(EXP(T3/1000)-1)</f>
        <v>3.0336224037923465</v>
      </c>
      <c r="S3" s="4">
        <f t="shared" ref="S3:S14" si="1">I3-(I$17-S$19)</f>
        <v>5.8512000000000004</v>
      </c>
      <c r="T3">
        <f t="shared" ref="T3:T14" si="2">U3*0.528+W3</f>
        <v>3.0290302562317906</v>
      </c>
      <c r="U3">
        <f>1000*LN(S3/1000+1)</f>
        <v>5.8341482125602093</v>
      </c>
      <c r="V3">
        <f t="shared" ref="V3:V14" si="3">K3-(K$17-V$19)</f>
        <v>-51.400000000000006</v>
      </c>
      <c r="W3">
        <f t="shared" ref="W3:W14" si="4">V3/1000</f>
        <v>-5.1400000000000008E-2</v>
      </c>
    </row>
    <row r="4" spans="1:23" x14ac:dyDescent="0.25">
      <c r="A4">
        <v>18534</v>
      </c>
      <c r="B4" t="s">
        <v>16</v>
      </c>
      <c r="C4" s="1">
        <v>45702.402499999997</v>
      </c>
      <c r="D4" t="s">
        <v>17</v>
      </c>
      <c r="E4" t="s">
        <v>18</v>
      </c>
      <c r="F4" t="s">
        <v>23</v>
      </c>
      <c r="G4" t="s">
        <v>22</v>
      </c>
      <c r="H4">
        <v>2.7919999999999998</v>
      </c>
      <c r="I4">
        <v>5.4390000000000001</v>
      </c>
      <c r="J4">
        <v>2E-3</v>
      </c>
      <c r="K4">
        <v>-76</v>
      </c>
      <c r="L4">
        <v>4</v>
      </c>
      <c r="M4">
        <v>4982</v>
      </c>
      <c r="N4">
        <v>4987</v>
      </c>
      <c r="O4">
        <v>1.92</v>
      </c>
      <c r="P4">
        <v>40.128416693549497</v>
      </c>
      <c r="R4">
        <f t="shared" si="0"/>
        <v>2.8740752055358421</v>
      </c>
      <c r="S4" s="4">
        <f t="shared" si="1"/>
        <v>5.5482000000000005</v>
      </c>
      <c r="T4">
        <f t="shared" si="2"/>
        <v>2.8699529479556389</v>
      </c>
      <c r="U4">
        <f t="shared" ref="U3:U14" si="5">1000*LN(S4/1000+1)</f>
        <v>5.532865431734165</v>
      </c>
      <c r="V4">
        <f t="shared" si="3"/>
        <v>-51.400000000000006</v>
      </c>
      <c r="W4">
        <f t="shared" si="4"/>
        <v>-5.1400000000000008E-2</v>
      </c>
    </row>
    <row r="5" spans="1:23" x14ac:dyDescent="0.25">
      <c r="A5">
        <v>18533</v>
      </c>
      <c r="B5" t="s">
        <v>16</v>
      </c>
      <c r="C5" s="1">
        <v>45702.250891203701</v>
      </c>
      <c r="D5" t="s">
        <v>17</v>
      </c>
      <c r="E5" t="s">
        <v>18</v>
      </c>
      <c r="F5" t="s">
        <v>24</v>
      </c>
      <c r="G5" t="s">
        <v>25</v>
      </c>
      <c r="H5">
        <v>2.6259999999999999</v>
      </c>
      <c r="I5">
        <v>5.1269999999999998</v>
      </c>
      <c r="J5">
        <v>2E-3</v>
      </c>
      <c r="K5">
        <v>-77</v>
      </c>
      <c r="L5">
        <v>4</v>
      </c>
      <c r="M5">
        <v>4875</v>
      </c>
      <c r="N5">
        <v>4929</v>
      </c>
      <c r="O5">
        <v>1.7150000000000001</v>
      </c>
      <c r="P5">
        <v>46.877343308923798</v>
      </c>
      <c r="R5">
        <f t="shared" si="0"/>
        <v>2.7087625575950014</v>
      </c>
      <c r="S5" s="4">
        <f t="shared" si="1"/>
        <v>5.2362000000000002</v>
      </c>
      <c r="T5">
        <f t="shared" si="2"/>
        <v>2.7051004719546419</v>
      </c>
      <c r="U5">
        <f t="shared" si="5"/>
        <v>5.222538772641367</v>
      </c>
      <c r="V5">
        <f t="shared" si="3"/>
        <v>-52.400000000000006</v>
      </c>
      <c r="W5">
        <f t="shared" si="4"/>
        <v>-5.2400000000000009E-2</v>
      </c>
    </row>
    <row r="6" spans="1:23" x14ac:dyDescent="0.25">
      <c r="A6">
        <v>18532</v>
      </c>
      <c r="B6" t="s">
        <v>16</v>
      </c>
      <c r="C6" s="1">
        <v>45702.172430555554</v>
      </c>
      <c r="D6" t="s">
        <v>17</v>
      </c>
      <c r="E6" t="s">
        <v>18</v>
      </c>
      <c r="F6" t="s">
        <v>26</v>
      </c>
      <c r="G6" t="s">
        <v>27</v>
      </c>
      <c r="H6">
        <v>3.36</v>
      </c>
      <c r="I6">
        <v>6.5339999999999998</v>
      </c>
      <c r="J6">
        <v>2E-3</v>
      </c>
      <c r="K6">
        <v>-84</v>
      </c>
      <c r="L6">
        <v>4</v>
      </c>
      <c r="M6">
        <v>4988</v>
      </c>
      <c r="N6">
        <v>4997</v>
      </c>
      <c r="O6">
        <v>2.0499999999999998</v>
      </c>
      <c r="P6">
        <v>55.190951152588397</v>
      </c>
      <c r="R6">
        <f t="shared" si="0"/>
        <v>3.4425219823761566</v>
      </c>
      <c r="S6" s="4">
        <f t="shared" si="1"/>
        <v>6.6432000000000002</v>
      </c>
      <c r="T6">
        <f t="shared" si="2"/>
        <v>3.4366100676224591</v>
      </c>
      <c r="U6">
        <f t="shared" si="5"/>
        <v>6.6212311886788999</v>
      </c>
      <c r="V6">
        <f t="shared" si="3"/>
        <v>-59.400000000000006</v>
      </c>
      <c r="W6">
        <f t="shared" si="4"/>
        <v>-5.9400000000000008E-2</v>
      </c>
    </row>
    <row r="7" spans="1:23" x14ac:dyDescent="0.25">
      <c r="A7">
        <v>18531</v>
      </c>
      <c r="B7" t="s">
        <v>16</v>
      </c>
      <c r="C7" s="1">
        <v>45702.096550925926</v>
      </c>
      <c r="D7" t="s">
        <v>17</v>
      </c>
      <c r="E7" t="s">
        <v>18</v>
      </c>
      <c r="F7" t="s">
        <v>28</v>
      </c>
      <c r="G7" t="s">
        <v>25</v>
      </c>
      <c r="H7">
        <v>3.1589999999999998</v>
      </c>
      <c r="I7">
        <v>6.1360000000000001</v>
      </c>
      <c r="J7">
        <v>2E-3</v>
      </c>
      <c r="K7">
        <v>-78</v>
      </c>
      <c r="L7">
        <v>5</v>
      </c>
      <c r="M7">
        <v>4969</v>
      </c>
      <c r="N7">
        <v>4971</v>
      </c>
      <c r="O7">
        <v>1.663</v>
      </c>
      <c r="P7">
        <v>45.134657531489601</v>
      </c>
      <c r="R7">
        <f t="shared" si="0"/>
        <v>3.2390460135323096</v>
      </c>
      <c r="S7" s="4">
        <f t="shared" si="1"/>
        <v>6.2452000000000005</v>
      </c>
      <c r="T7">
        <f t="shared" si="2"/>
        <v>3.2338116039434746</v>
      </c>
      <c r="U7">
        <f t="shared" si="5"/>
        <v>6.2257795529232469</v>
      </c>
      <c r="V7">
        <f t="shared" si="3"/>
        <v>-53.400000000000006</v>
      </c>
      <c r="W7">
        <f t="shared" si="4"/>
        <v>-5.3400000000000003E-2</v>
      </c>
    </row>
    <row r="8" spans="1:23" x14ac:dyDescent="0.25">
      <c r="A8">
        <v>18530</v>
      </c>
      <c r="B8" t="s">
        <v>16</v>
      </c>
      <c r="C8" s="1">
        <v>45702.020740740743</v>
      </c>
      <c r="D8" t="s">
        <v>17</v>
      </c>
      <c r="E8" t="s">
        <v>18</v>
      </c>
      <c r="F8" t="s">
        <v>29</v>
      </c>
      <c r="G8" t="s">
        <v>20</v>
      </c>
      <c r="H8">
        <v>2.6819999999999999</v>
      </c>
      <c r="I8">
        <v>5.2190000000000003</v>
      </c>
      <c r="J8">
        <v>3.0000000000000001E-3</v>
      </c>
      <c r="K8">
        <v>-70</v>
      </c>
      <c r="L8">
        <v>4</v>
      </c>
      <c r="M8">
        <v>4919</v>
      </c>
      <c r="N8">
        <v>4938</v>
      </c>
      <c r="O8">
        <v>2.024</v>
      </c>
      <c r="P8">
        <v>46.4290335630835</v>
      </c>
      <c r="R8">
        <f t="shared" si="0"/>
        <v>2.7642347028800085</v>
      </c>
      <c r="S8" s="4">
        <f t="shared" si="1"/>
        <v>5.3282000000000007</v>
      </c>
      <c r="T8">
        <f t="shared" si="2"/>
        <v>2.7604212320694566</v>
      </c>
      <c r="U8">
        <f t="shared" si="5"/>
        <v>5.3140553637679098</v>
      </c>
      <c r="V8">
        <f t="shared" si="3"/>
        <v>-45.400000000000006</v>
      </c>
      <c r="W8">
        <f t="shared" si="4"/>
        <v>-4.5400000000000003E-2</v>
      </c>
    </row>
    <row r="9" spans="1:23" x14ac:dyDescent="0.25">
      <c r="A9">
        <v>18529</v>
      </c>
      <c r="B9" t="s">
        <v>16</v>
      </c>
      <c r="C9" s="1">
        <v>45701.944861111115</v>
      </c>
      <c r="D9" t="s">
        <v>17</v>
      </c>
      <c r="E9" t="s">
        <v>18</v>
      </c>
      <c r="F9" t="s">
        <v>30</v>
      </c>
      <c r="G9" t="s">
        <v>25</v>
      </c>
      <c r="H9">
        <v>3.0649999999999999</v>
      </c>
      <c r="I9">
        <v>5.95</v>
      </c>
      <c r="J9">
        <v>2E-3</v>
      </c>
      <c r="K9">
        <v>-72</v>
      </c>
      <c r="L9">
        <v>3</v>
      </c>
      <c r="M9">
        <v>4984</v>
      </c>
      <c r="N9">
        <v>4978</v>
      </c>
      <c r="O9">
        <v>2.0190000000000001</v>
      </c>
      <c r="P9">
        <v>55.479468891725503</v>
      </c>
      <c r="R9">
        <f t="shared" si="0"/>
        <v>3.1471460026342157</v>
      </c>
      <c r="S9" s="4">
        <f t="shared" si="1"/>
        <v>6.0592000000000006</v>
      </c>
      <c r="T9">
        <f t="shared" si="2"/>
        <v>3.1422041045217246</v>
      </c>
      <c r="U9">
        <f t="shared" si="5"/>
        <v>6.040916864624478</v>
      </c>
      <c r="V9">
        <f t="shared" si="3"/>
        <v>-47.400000000000006</v>
      </c>
      <c r="W9">
        <f t="shared" si="4"/>
        <v>-4.7400000000000005E-2</v>
      </c>
    </row>
    <row r="10" spans="1:23" x14ac:dyDescent="0.25">
      <c r="A10">
        <v>18528</v>
      </c>
      <c r="B10" t="s">
        <v>16</v>
      </c>
      <c r="C10" s="1">
        <v>45701.868900462963</v>
      </c>
      <c r="D10" t="s">
        <v>17</v>
      </c>
      <c r="E10" t="s">
        <v>18</v>
      </c>
      <c r="F10" t="s">
        <v>31</v>
      </c>
      <c r="G10" t="s">
        <v>32</v>
      </c>
      <c r="H10">
        <v>2.605</v>
      </c>
      <c r="I10">
        <v>5.0970000000000004</v>
      </c>
      <c r="J10">
        <v>2E-3</v>
      </c>
      <c r="K10">
        <v>-83</v>
      </c>
      <c r="L10">
        <v>3</v>
      </c>
      <c r="M10">
        <v>4940</v>
      </c>
      <c r="N10">
        <v>4931</v>
      </c>
      <c r="O10">
        <v>2.04</v>
      </c>
      <c r="P10">
        <v>53.897045136502797</v>
      </c>
      <c r="R10">
        <f t="shared" si="0"/>
        <v>2.6869461326575195</v>
      </c>
      <c r="S10" s="4">
        <f t="shared" si="1"/>
        <v>5.2062000000000008</v>
      </c>
      <c r="T10">
        <f t="shared" si="2"/>
        <v>2.6833427461912356</v>
      </c>
      <c r="U10">
        <f t="shared" si="5"/>
        <v>5.1926945950591579</v>
      </c>
      <c r="V10">
        <f t="shared" si="3"/>
        <v>-58.400000000000006</v>
      </c>
      <c r="W10">
        <f t="shared" si="4"/>
        <v>-5.8400000000000007E-2</v>
      </c>
    </row>
    <row r="11" spans="1:23" x14ac:dyDescent="0.25">
      <c r="A11">
        <v>18527</v>
      </c>
      <c r="B11" t="s">
        <v>16</v>
      </c>
      <c r="C11" s="1">
        <v>45701.792951388888</v>
      </c>
      <c r="D11" t="s">
        <v>17</v>
      </c>
      <c r="E11" t="s">
        <v>18</v>
      </c>
      <c r="F11" t="s">
        <v>33</v>
      </c>
      <c r="G11" t="s">
        <v>32</v>
      </c>
      <c r="H11">
        <v>2.4460000000000002</v>
      </c>
      <c r="I11">
        <v>4.7809999999999997</v>
      </c>
      <c r="J11">
        <v>2E-3</v>
      </c>
      <c r="K11">
        <v>-75</v>
      </c>
      <c r="L11">
        <v>5</v>
      </c>
      <c r="M11">
        <v>5000</v>
      </c>
      <c r="N11">
        <v>5004</v>
      </c>
      <c r="O11">
        <v>1.4019999999999999</v>
      </c>
      <c r="P11">
        <v>38.549035499999803</v>
      </c>
      <c r="R11">
        <f t="shared" si="0"/>
        <v>2.5285241349439769</v>
      </c>
      <c r="S11" s="4">
        <f t="shared" si="1"/>
        <v>4.8902000000000001</v>
      </c>
      <c r="T11">
        <f t="shared" si="2"/>
        <v>2.5253327962460719</v>
      </c>
      <c r="U11">
        <f t="shared" si="5"/>
        <v>4.8782818110721058</v>
      </c>
      <c r="V11">
        <f t="shared" si="3"/>
        <v>-50.400000000000006</v>
      </c>
      <c r="W11">
        <f t="shared" si="4"/>
        <v>-5.0400000000000007E-2</v>
      </c>
    </row>
    <row r="12" spans="1:23" x14ac:dyDescent="0.25">
      <c r="A12">
        <v>18525</v>
      </c>
      <c r="B12" t="s">
        <v>16</v>
      </c>
      <c r="C12" s="1">
        <v>45701.717106481483</v>
      </c>
      <c r="D12" t="s">
        <v>17</v>
      </c>
      <c r="E12" t="s">
        <v>18</v>
      </c>
      <c r="F12" t="s">
        <v>34</v>
      </c>
      <c r="G12" t="s">
        <v>20</v>
      </c>
      <c r="H12">
        <v>2.4860000000000002</v>
      </c>
      <c r="I12">
        <v>4.8609999999999998</v>
      </c>
      <c r="J12">
        <v>2E-3</v>
      </c>
      <c r="K12">
        <v>-78</v>
      </c>
      <c r="L12">
        <v>5</v>
      </c>
      <c r="M12">
        <v>4957</v>
      </c>
      <c r="N12">
        <v>4968</v>
      </c>
      <c r="O12">
        <v>2.008</v>
      </c>
      <c r="P12">
        <v>53.676097510264299</v>
      </c>
      <c r="R12">
        <f t="shared" si="0"/>
        <v>2.5676563640191219</v>
      </c>
      <c r="S12" s="4">
        <f t="shared" si="1"/>
        <v>4.9702000000000002</v>
      </c>
      <c r="T12">
        <f t="shared" si="2"/>
        <v>2.564365566305475</v>
      </c>
      <c r="U12">
        <f t="shared" si="5"/>
        <v>4.9578893301240052</v>
      </c>
      <c r="V12">
        <f t="shared" si="3"/>
        <v>-53.400000000000006</v>
      </c>
      <c r="W12">
        <f t="shared" si="4"/>
        <v>-5.3400000000000003E-2</v>
      </c>
    </row>
    <row r="13" spans="1:23" x14ac:dyDescent="0.25">
      <c r="A13">
        <v>18524</v>
      </c>
      <c r="B13" t="s">
        <v>16</v>
      </c>
      <c r="C13" s="1">
        <v>45701.639166666668</v>
      </c>
      <c r="D13" t="s">
        <v>17</v>
      </c>
      <c r="E13" t="s">
        <v>18</v>
      </c>
      <c r="F13" t="s">
        <v>35</v>
      </c>
      <c r="G13" t="s">
        <v>20</v>
      </c>
      <c r="H13">
        <v>2.5339999999999998</v>
      </c>
      <c r="I13">
        <v>4.9619999999999997</v>
      </c>
      <c r="J13">
        <v>2E-3</v>
      </c>
      <c r="K13">
        <v>-83</v>
      </c>
      <c r="L13">
        <v>4</v>
      </c>
      <c r="M13">
        <v>4967</v>
      </c>
      <c r="N13">
        <v>4958</v>
      </c>
      <c r="O13">
        <v>2.004</v>
      </c>
      <c r="P13">
        <v>53.116485837001399</v>
      </c>
      <c r="R13">
        <f t="shared" si="0"/>
        <v>2.6158425213198555</v>
      </c>
      <c r="S13" s="4">
        <f t="shared" si="1"/>
        <v>5.0712000000000002</v>
      </c>
      <c r="T13">
        <f t="shared" si="2"/>
        <v>2.6124271600068116</v>
      </c>
      <c r="U13">
        <f t="shared" si="5"/>
        <v>5.0583847727401725</v>
      </c>
      <c r="V13">
        <f t="shared" si="3"/>
        <v>-58.400000000000006</v>
      </c>
      <c r="W13">
        <f t="shared" si="4"/>
        <v>-5.8400000000000007E-2</v>
      </c>
    </row>
    <row r="14" spans="1:23" x14ac:dyDescent="0.25">
      <c r="A14">
        <v>18523</v>
      </c>
      <c r="B14" t="s">
        <v>16</v>
      </c>
      <c r="C14" s="1">
        <v>45701.562754629631</v>
      </c>
      <c r="D14" t="s">
        <v>17</v>
      </c>
      <c r="E14" t="s">
        <v>18</v>
      </c>
      <c r="F14" t="s">
        <v>36</v>
      </c>
      <c r="G14" t="s">
        <v>20</v>
      </c>
      <c r="H14">
        <v>2.7040000000000002</v>
      </c>
      <c r="I14">
        <v>5.2789999999999999</v>
      </c>
      <c r="J14">
        <v>2E-3</v>
      </c>
      <c r="K14">
        <v>-80</v>
      </c>
      <c r="L14">
        <v>4</v>
      </c>
      <c r="M14">
        <v>4984</v>
      </c>
      <c r="N14">
        <v>4990</v>
      </c>
      <c r="O14">
        <v>2.0950000000000002</v>
      </c>
      <c r="P14">
        <v>67.8137430056575</v>
      </c>
      <c r="R14">
        <f t="shared" si="0"/>
        <v>2.785805553701115</v>
      </c>
      <c r="S14" s="4">
        <f t="shared" si="1"/>
        <v>5.3882000000000003</v>
      </c>
      <c r="T14">
        <f t="shared" si="2"/>
        <v>2.781932388997896</v>
      </c>
      <c r="U14">
        <f t="shared" si="5"/>
        <v>5.3737355852232875</v>
      </c>
      <c r="V14">
        <f t="shared" si="3"/>
        <v>-55.400000000000006</v>
      </c>
      <c r="W14">
        <f t="shared" si="4"/>
        <v>-5.5400000000000005E-2</v>
      </c>
    </row>
    <row r="15" spans="1:23" x14ac:dyDescent="0.25">
      <c r="S15" s="2"/>
    </row>
    <row r="17" spans="8:22" x14ac:dyDescent="0.25">
      <c r="H17">
        <f>AVERAGE(H2,H8,H12,H13,H14)</f>
        <v>2.6218000000000004</v>
      </c>
      <c r="I17">
        <f>AVERAGE(I2,I8,I12,I13,I14)</f>
        <v>5.1167999999999996</v>
      </c>
      <c r="K17">
        <f>AVERAGE(K2,K8,K12,K13,K14)</f>
        <v>-76.599999999999994</v>
      </c>
    </row>
    <row r="19" spans="8:22" x14ac:dyDescent="0.25">
      <c r="S19" s="3">
        <v>5.226</v>
      </c>
      <c r="V19">
        <v>-52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results (13)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Di Rocco</dc:creator>
  <cp:lastModifiedBy>Taha Altar Çağ</cp:lastModifiedBy>
  <dcterms:created xsi:type="dcterms:W3CDTF">2025-02-14T14:18:05Z</dcterms:created>
  <dcterms:modified xsi:type="dcterms:W3CDTF">2025-03-18T01:18:18Z</dcterms:modified>
</cp:coreProperties>
</file>