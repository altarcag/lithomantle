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tar\Desktop\"/>
    </mc:Choice>
  </mc:AlternateContent>
  <xr:revisionPtr revIDLastSave="0" documentId="13_ncr:1_{AFD0942E-C359-42C9-B968-31F507930B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2" i="1"/>
  <c r="M3" i="1"/>
  <c r="M4" i="1"/>
  <c r="M5" i="1"/>
  <c r="M6" i="1"/>
  <c r="M7" i="1"/>
  <c r="M8" i="1"/>
  <c r="M9" i="1"/>
  <c r="M10" i="1"/>
  <c r="M2" i="1"/>
  <c r="P3" i="1"/>
  <c r="P4" i="1"/>
  <c r="P5" i="1"/>
  <c r="P6" i="1"/>
  <c r="P7" i="1"/>
  <c r="P8" i="1"/>
  <c r="P9" i="1"/>
  <c r="P10" i="1"/>
  <c r="P2" i="1"/>
  <c r="N3" i="1"/>
  <c r="N4" i="1"/>
  <c r="N5" i="1"/>
  <c r="N6" i="1"/>
  <c r="N7" i="1"/>
  <c r="N8" i="1"/>
  <c r="N9" i="1"/>
  <c r="N10" i="1"/>
  <c r="N2" i="1"/>
  <c r="O12" i="1"/>
  <c r="G12" i="1"/>
  <c r="O3" i="1" s="1"/>
  <c r="F12" i="1"/>
  <c r="L5" i="1" s="1"/>
  <c r="L4" i="1" l="1"/>
  <c r="L3" i="1"/>
  <c r="L10" i="1"/>
  <c r="L9" i="1"/>
  <c r="L8" i="1"/>
  <c r="O10" i="1"/>
  <c r="O9" i="1"/>
  <c r="L2" i="1"/>
  <c r="L12" i="1" s="1"/>
  <c r="L7" i="1"/>
  <c r="L6" i="1"/>
  <c r="O8" i="1"/>
  <c r="O7" i="1"/>
  <c r="O6" i="1"/>
  <c r="O5" i="1"/>
  <c r="O4" i="1"/>
  <c r="O2" i="1"/>
</calcChain>
</file>

<file path=xl/sharedStrings.xml><?xml version="1.0" encoding="utf-8"?>
<sst xmlns="http://schemas.openxmlformats.org/spreadsheetml/2006/main" count="54" uniqueCount="36">
  <si>
    <t>dateTimeMeasured</t>
  </si>
  <si>
    <t>Analyst</t>
  </si>
  <si>
    <t>MassSpectrometer</t>
  </si>
  <si>
    <t>SampleName</t>
  </si>
  <si>
    <t>d17O</t>
  </si>
  <si>
    <t>d18O</t>
  </si>
  <si>
    <t>CapD17O</t>
  </si>
  <si>
    <t>IntensityReference</t>
  </si>
  <si>
    <t>IntensitySample</t>
  </si>
  <si>
    <t>2025-11-22 13:19:13</t>
  </si>
  <si>
    <t>Tommaso Di Rocco</t>
  </si>
  <si>
    <t>MAT253Plus</t>
  </si>
  <si>
    <t>SanCarlos1023_pos14</t>
  </si>
  <si>
    <t>2025-11-22 11:59:47</t>
  </si>
  <si>
    <t>SanCarlos0820_pos13</t>
  </si>
  <si>
    <t>2025-11-22 10:19:15</t>
  </si>
  <si>
    <t>D2004-12-bulk_pos12</t>
  </si>
  <si>
    <t>2025-11-22 08:38:41</t>
  </si>
  <si>
    <t>D2004-8-bulk_pos11</t>
  </si>
  <si>
    <t>2025-11-22 06:58:07</t>
  </si>
  <si>
    <t>SanCarlos1023_pos10</t>
  </si>
  <si>
    <t>2025-11-22 05:17:18</t>
  </si>
  <si>
    <t>D2004-7-bulk_pos09</t>
  </si>
  <si>
    <t>2025-11-22 03:36:50</t>
  </si>
  <si>
    <t>D2004-5-bulk_pos08</t>
  </si>
  <si>
    <t>2025-11-22 01:52:24</t>
  </si>
  <si>
    <t>SanCarlos1023_pos07</t>
  </si>
  <si>
    <t>2025-11-21 19:09:55</t>
  </si>
  <si>
    <t>SanCarlos1023_pos03</t>
  </si>
  <si>
    <t>2025-11-21 17:29:26</t>
  </si>
  <si>
    <t>SanCarlos1023_pos02</t>
  </si>
  <si>
    <t>d17p</t>
  </si>
  <si>
    <t>cd18</t>
  </si>
  <si>
    <t>cd17</t>
  </si>
  <si>
    <t>d18p</t>
  </si>
  <si>
    <t>cCapD17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</si>
</sst>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O7" sqref="O7"/>
    </sheetView>
  </sheetViews>
  <sheetFormatPr defaultRowHeight="14.4" x14ac:dyDescent="0.3"/>
  <cols>
    <col min="1" max="1" width="18.109375" bestFit="1" customWidth="1"/>
    <col min="2" max="3" width="16.88671875" bestFit="1" customWidth="1"/>
    <col min="4" max="4" width="20.77734375" bestFit="1" customWidth="1"/>
    <col min="7" max="7" width="12.6640625" bestFit="1" customWidth="1"/>
    <col min="8" max="8" width="16.88671875" bestFit="1" customWidth="1"/>
    <col min="9" max="9" width="14.6640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3" t="s">
        <v>33</v>
      </c>
      <c r="L1" s="3" t="s">
        <v>32</v>
      </c>
      <c r="M1" s="3" t="s">
        <v>31</v>
      </c>
      <c r="N1" s="3" t="s">
        <v>34</v>
      </c>
      <c r="O1" s="3" t="s">
        <v>35</v>
      </c>
    </row>
    <row r="2" spans="1:16" x14ac:dyDescent="0.3">
      <c r="A2" t="s">
        <v>9</v>
      </c>
      <c r="B2" t="s">
        <v>10</v>
      </c>
      <c r="C2" t="s">
        <v>11</v>
      </c>
      <c r="D2" t="s">
        <v>12</v>
      </c>
      <c r="E2">
        <v>2.74</v>
      </c>
      <c r="F2">
        <v>5.3220000000000001</v>
      </c>
      <c r="G2">
        <v>-66</v>
      </c>
      <c r="H2">
        <v>4921</v>
      </c>
      <c r="I2">
        <v>4924</v>
      </c>
      <c r="K2">
        <f>1000*(EXP(M2/1000)-1)</f>
        <v>2.7151499773241383</v>
      </c>
      <c r="L2">
        <f>F2-(F$12-L$17)</f>
        <v>5.2367777777777773</v>
      </c>
      <c r="M2">
        <f>N2*0.528+P2</f>
        <v>2.7114706161314004</v>
      </c>
      <c r="N2">
        <f>1000*LN(L2/1000+1)</f>
        <v>5.2231135406529043</v>
      </c>
      <c r="O2">
        <f>G2-(G$12-O$17)</f>
        <v>-46.333333333333329</v>
      </c>
      <c r="P2">
        <f>O2/1000</f>
        <v>-4.6333333333333331E-2</v>
      </c>
    </row>
    <row r="3" spans="1:16" x14ac:dyDescent="0.3">
      <c r="A3" t="s">
        <v>13</v>
      </c>
      <c r="B3" t="s">
        <v>10</v>
      </c>
      <c r="C3" t="s">
        <v>11</v>
      </c>
      <c r="D3" t="s">
        <v>14</v>
      </c>
      <c r="E3">
        <v>2.6880000000000002</v>
      </c>
      <c r="F3">
        <v>5.2190000000000003</v>
      </c>
      <c r="G3">
        <v>-64</v>
      </c>
      <c r="H3">
        <v>4982</v>
      </c>
      <c r="I3">
        <v>4977</v>
      </c>
      <c r="K3">
        <f t="shared" ref="K3:K10" si="0">1000*(EXP(M3/1000)-1)</f>
        <v>2.662906411080801</v>
      </c>
      <c r="L3">
        <f>F3-(F$12-L$17)</f>
        <v>5.1337777777777776</v>
      </c>
      <c r="M3">
        <f t="shared" ref="M3:M10" si="1">N3*0.528+P3</f>
        <v>2.6593671575453408</v>
      </c>
      <c r="N3">
        <f t="shared" ref="N3:N10" si="2">1000*LN(L3/1000+1)</f>
        <v>5.1206448690883981</v>
      </c>
      <c r="O3">
        <f>G3-(G$12-O$17)</f>
        <v>-44.333333333333329</v>
      </c>
      <c r="P3">
        <f t="shared" ref="P3:P10" si="3">O3/1000</f>
        <v>-4.4333333333333329E-2</v>
      </c>
    </row>
    <row r="4" spans="1:16" x14ac:dyDescent="0.3">
      <c r="A4" t="s">
        <v>15</v>
      </c>
      <c r="B4" t="s">
        <v>10</v>
      </c>
      <c r="C4" t="s">
        <v>11</v>
      </c>
      <c r="D4" t="s">
        <v>16</v>
      </c>
      <c r="E4">
        <v>2.4820000000000002</v>
      </c>
      <c r="F4">
        <v>4.8529999999999998</v>
      </c>
      <c r="G4">
        <v>-77</v>
      </c>
      <c r="H4">
        <v>4684</v>
      </c>
      <c r="I4">
        <v>4723</v>
      </c>
      <c r="K4">
        <f t="shared" si="0"/>
        <v>2.4570848675362633</v>
      </c>
      <c r="L4">
        <f>F4-(F$12-L$17)</f>
        <v>4.767777777777777</v>
      </c>
      <c r="M4">
        <f t="shared" si="1"/>
        <v>2.454071170110617</v>
      </c>
      <c r="N4">
        <f t="shared" si="2"/>
        <v>4.7564479231892998</v>
      </c>
      <c r="O4">
        <f>G4-(G$12-O$17)</f>
        <v>-57.333333333333329</v>
      </c>
      <c r="P4">
        <f t="shared" si="3"/>
        <v>-5.7333333333333326E-2</v>
      </c>
    </row>
    <row r="5" spans="1:16" x14ac:dyDescent="0.3">
      <c r="A5" t="s">
        <v>17</v>
      </c>
      <c r="B5" t="s">
        <v>10</v>
      </c>
      <c r="C5" t="s">
        <v>11</v>
      </c>
      <c r="D5" t="s">
        <v>18</v>
      </c>
      <c r="E5">
        <v>3.028</v>
      </c>
      <c r="F5">
        <v>5.8840000000000003</v>
      </c>
      <c r="G5">
        <v>-74</v>
      </c>
      <c r="H5">
        <v>4975</v>
      </c>
      <c r="I5">
        <v>4962</v>
      </c>
      <c r="K5">
        <f t="shared" si="0"/>
        <v>3.0030785181596187</v>
      </c>
      <c r="L5">
        <f>F5-(F$12-L$17)</f>
        <v>5.7987777777777776</v>
      </c>
      <c r="M5">
        <f t="shared" si="1"/>
        <v>2.998578285317</v>
      </c>
      <c r="N5">
        <f t="shared" si="2"/>
        <v>5.782029580777146</v>
      </c>
      <c r="O5">
        <f>G5-(G$12-O$17)</f>
        <v>-54.333333333333329</v>
      </c>
      <c r="P5">
        <f t="shared" si="3"/>
        <v>-5.4333333333333331E-2</v>
      </c>
    </row>
    <row r="6" spans="1:16" x14ac:dyDescent="0.3">
      <c r="A6" t="s">
        <v>19</v>
      </c>
      <c r="B6" t="s">
        <v>10</v>
      </c>
      <c r="C6" t="s">
        <v>11</v>
      </c>
      <c r="D6" t="s">
        <v>20</v>
      </c>
      <c r="E6">
        <v>2.6789999999999998</v>
      </c>
      <c r="F6">
        <v>5.1909999999999998</v>
      </c>
      <c r="G6">
        <v>-58</v>
      </c>
      <c r="H6">
        <v>4958</v>
      </c>
      <c r="I6">
        <v>4961</v>
      </c>
      <c r="K6">
        <f t="shared" si="0"/>
        <v>2.6541745639108161</v>
      </c>
      <c r="L6">
        <f>F6-(F$12-L$17)</f>
        <v>5.1057777777777771</v>
      </c>
      <c r="M6">
        <f t="shared" si="1"/>
        <v>2.6506584627929621</v>
      </c>
      <c r="N6">
        <f t="shared" si="2"/>
        <v>5.0927874926634384</v>
      </c>
      <c r="O6">
        <f>G6-(G$12-O$17)</f>
        <v>-38.333333333333329</v>
      </c>
      <c r="P6">
        <f t="shared" si="3"/>
        <v>-3.833333333333333E-2</v>
      </c>
    </row>
    <row r="7" spans="1:16" x14ac:dyDescent="0.3">
      <c r="A7" t="s">
        <v>23</v>
      </c>
      <c r="B7" t="s">
        <v>10</v>
      </c>
      <c r="C7" t="s">
        <v>11</v>
      </c>
      <c r="D7" t="s">
        <v>24</v>
      </c>
      <c r="E7">
        <v>3.2269999999999999</v>
      </c>
      <c r="F7">
        <v>6.2549999999999999</v>
      </c>
      <c r="G7">
        <v>-71</v>
      </c>
      <c r="H7">
        <v>4976</v>
      </c>
      <c r="I7">
        <v>4968</v>
      </c>
      <c r="K7">
        <f t="shared" si="0"/>
        <v>3.2014146294971901</v>
      </c>
      <c r="L7">
        <f>F7-(F$12-L$17)</f>
        <v>6.1697777777777771</v>
      </c>
      <c r="M7">
        <f t="shared" si="1"/>
        <v>3.1963010126472726</v>
      </c>
      <c r="N7">
        <f t="shared" si="2"/>
        <v>6.1508226249632685</v>
      </c>
      <c r="O7">
        <f>G7-(G$12-O$17)</f>
        <v>-51.333333333333329</v>
      </c>
      <c r="P7">
        <f t="shared" si="3"/>
        <v>-5.1333333333333328E-2</v>
      </c>
    </row>
    <row r="8" spans="1:16" x14ac:dyDescent="0.3">
      <c r="A8" t="s">
        <v>25</v>
      </c>
      <c r="B8" t="s">
        <v>10</v>
      </c>
      <c r="C8" t="s">
        <v>11</v>
      </c>
      <c r="D8" t="s">
        <v>26</v>
      </c>
      <c r="E8">
        <v>2.6320000000000001</v>
      </c>
      <c r="F8">
        <v>5.1150000000000002</v>
      </c>
      <c r="G8">
        <v>-65</v>
      </c>
      <c r="H8">
        <v>4963</v>
      </c>
      <c r="I8">
        <v>4969</v>
      </c>
      <c r="K8">
        <f t="shared" si="0"/>
        <v>2.6071254532986643</v>
      </c>
      <c r="L8">
        <f>F8-(F$12-L$17)</f>
        <v>5.0297777777777775</v>
      </c>
      <c r="M8">
        <f t="shared" si="1"/>
        <v>2.6037327971747262</v>
      </c>
      <c r="N8">
        <f t="shared" si="2"/>
        <v>5.0171707017198095</v>
      </c>
      <c r="O8">
        <f>G8-(G$12-O$17)</f>
        <v>-45.333333333333329</v>
      </c>
      <c r="P8">
        <f t="shared" si="3"/>
        <v>-4.533333333333333E-2</v>
      </c>
    </row>
    <row r="9" spans="1:16" x14ac:dyDescent="0.3">
      <c r="A9" t="s">
        <v>27</v>
      </c>
      <c r="B9" t="s">
        <v>10</v>
      </c>
      <c r="C9" t="s">
        <v>11</v>
      </c>
      <c r="D9" t="s">
        <v>28</v>
      </c>
      <c r="E9">
        <v>2.5920000000000001</v>
      </c>
      <c r="F9">
        <v>5.0730000000000004</v>
      </c>
      <c r="G9">
        <v>-83</v>
      </c>
      <c r="H9">
        <v>4951</v>
      </c>
      <c r="I9">
        <v>4954</v>
      </c>
      <c r="K9">
        <f t="shared" si="0"/>
        <v>2.5669563233490234</v>
      </c>
      <c r="L9">
        <f>F9-(F$12-L$17)</f>
        <v>4.9877777777777776</v>
      </c>
      <c r="M9">
        <f t="shared" si="1"/>
        <v>2.563667318252048</v>
      </c>
      <c r="N9">
        <f t="shared" si="2"/>
        <v>4.9753800219420103</v>
      </c>
      <c r="O9">
        <f>G9-(G$12-O$17)</f>
        <v>-63.333333333333329</v>
      </c>
      <c r="P9">
        <f t="shared" si="3"/>
        <v>-6.3333333333333325E-2</v>
      </c>
    </row>
    <row r="10" spans="1:16" x14ac:dyDescent="0.3">
      <c r="A10" t="s">
        <v>29</v>
      </c>
      <c r="B10" t="s">
        <v>10</v>
      </c>
      <c r="C10" t="s">
        <v>11</v>
      </c>
      <c r="D10" t="s">
        <v>30</v>
      </c>
      <c r="E10">
        <v>2.492</v>
      </c>
      <c r="F10">
        <v>4.8890000000000002</v>
      </c>
      <c r="G10">
        <v>-87</v>
      </c>
      <c r="H10">
        <v>4977</v>
      </c>
      <c r="I10">
        <v>4979</v>
      </c>
      <c r="K10">
        <f t="shared" si="0"/>
        <v>2.4660242835810031</v>
      </c>
      <c r="L10">
        <f>F10-(F$12-L$17)</f>
        <v>4.8037777777777775</v>
      </c>
      <c r="M10">
        <f t="shared" si="1"/>
        <v>2.4629886353280783</v>
      </c>
      <c r="N10">
        <f t="shared" si="2"/>
        <v>4.7922764557981283</v>
      </c>
      <c r="O10">
        <f>G10-(G$12-O$17)</f>
        <v>-67.333333333333329</v>
      </c>
      <c r="P10">
        <f t="shared" si="3"/>
        <v>-6.7333333333333328E-2</v>
      </c>
    </row>
    <row r="12" spans="1:16" x14ac:dyDescent="0.3">
      <c r="F12">
        <f>AVERAGE(F2:F10)</f>
        <v>5.3112222222222227</v>
      </c>
      <c r="G12">
        <f>AVERAGE(G2:G10)</f>
        <v>-71.666666666666671</v>
      </c>
      <c r="L12">
        <f>AVERAGE(L2:L10)</f>
        <v>5.226</v>
      </c>
      <c r="O12">
        <f>AVERAGE(O2:O10)</f>
        <v>-51.999999999999986</v>
      </c>
    </row>
    <row r="17" spans="1:15" x14ac:dyDescent="0.3">
      <c r="L17">
        <v>5.226</v>
      </c>
      <c r="O17">
        <v>-52</v>
      </c>
    </row>
    <row r="24" spans="1:15" s="2" customFormat="1" x14ac:dyDescent="0.3">
      <c r="A24" s="2" t="s">
        <v>21</v>
      </c>
      <c r="B24" s="2" t="s">
        <v>10</v>
      </c>
      <c r="C24" s="2" t="s">
        <v>11</v>
      </c>
      <c r="D24" s="2" t="s">
        <v>22</v>
      </c>
      <c r="E24" s="2">
        <v>3.2290000000000001</v>
      </c>
      <c r="F24" s="2">
        <v>6.2670000000000003</v>
      </c>
      <c r="G24" s="2">
        <v>-74</v>
      </c>
      <c r="H24" s="2">
        <v>4945</v>
      </c>
      <c r="I24" s="2">
        <v>4946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Taha Altar Çağ</cp:lastModifiedBy>
  <dcterms:created xsi:type="dcterms:W3CDTF">2025-11-23T14:34:38Z</dcterms:created>
  <dcterms:modified xsi:type="dcterms:W3CDTF">2026-01-15T23:06:58Z</dcterms:modified>
</cp:coreProperties>
</file>