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ltar\Desktop\project listhospheric mantle\"/>
    </mc:Choice>
  </mc:AlternateContent>
  <xr:revisionPtr revIDLastSave="0" documentId="13_ncr:1_{69308057-97AF-4DA1-B031-9B9783943F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1" l="1"/>
  <c r="J17" i="1"/>
  <c r="I17" i="1"/>
  <c r="H17" i="1"/>
  <c r="G17" i="1"/>
  <c r="F17" i="1"/>
  <c r="E17" i="1"/>
  <c r="D17" i="1"/>
  <c r="C17" i="1"/>
  <c r="B17" i="1"/>
  <c r="K10" i="1"/>
  <c r="J10" i="1"/>
  <c r="I10" i="1"/>
  <c r="H10" i="1"/>
  <c r="G10" i="1"/>
  <c r="F10" i="1"/>
  <c r="E10" i="1"/>
  <c r="D10" i="1"/>
  <c r="C10" i="1"/>
  <c r="B10" i="1"/>
  <c r="K9" i="1"/>
  <c r="J9" i="1"/>
  <c r="I9" i="1"/>
  <c r="H9" i="1"/>
  <c r="G9" i="1"/>
  <c r="F9" i="1"/>
  <c r="E9" i="1"/>
  <c r="D9" i="1"/>
  <c r="C9" i="1"/>
  <c r="B9" i="1"/>
</calcChain>
</file>

<file path=xl/sharedStrings.xml><?xml version="1.0" encoding="utf-8"?>
<sst xmlns="http://schemas.openxmlformats.org/spreadsheetml/2006/main" count="27" uniqueCount="26">
  <si>
    <t>Sample</t>
  </si>
  <si>
    <t>D2004-1</t>
  </si>
  <si>
    <t>D2004-3</t>
  </si>
  <si>
    <t>D2004-4</t>
  </si>
  <si>
    <t>D2004-5</t>
  </si>
  <si>
    <t>D2004-7</t>
  </si>
  <si>
    <t>D2004-8</t>
  </si>
  <si>
    <t>D2004-10</t>
  </si>
  <si>
    <t>D2004-11</t>
  </si>
  <si>
    <t>D2004-12</t>
  </si>
  <si>
    <t>D2004-13</t>
  </si>
  <si>
    <t>SiO2</t>
  </si>
  <si>
    <t>Al2O3</t>
  </si>
  <si>
    <t>MgO</t>
  </si>
  <si>
    <t>CaO</t>
  </si>
  <si>
    <t>MnO</t>
  </si>
  <si>
    <t>TiO2</t>
  </si>
  <si>
    <t>Fe2O3</t>
  </si>
  <si>
    <t>FeO</t>
  </si>
  <si>
    <t>Na2O</t>
  </si>
  <si>
    <t>K2O</t>
  </si>
  <si>
    <t xml:space="preserve">P2O5 </t>
  </si>
  <si>
    <t>Sr</t>
  </si>
  <si>
    <t>Ba</t>
  </si>
  <si>
    <t>Total</t>
  </si>
  <si>
    <t>Na2O+K2O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</si>
</sst>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indexed="12"/>
      <name val="Arial"/>
      <family val="2"/>
    </font>
    <font>
      <b/>
      <sz val="9"/>
      <color indexed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2" fontId="5" fillId="2" borderId="0" xfId="0" applyNumberFormat="1" applyFont="1" applyFill="1" applyAlignment="1">
      <alignment horizontal="center"/>
    </xf>
    <xf numFmtId="0" fontId="7" fillId="0" borderId="0" xfId="0" applyFont="1" applyAlignment="1">
      <alignment horizontal="left"/>
    </xf>
    <xf numFmtId="2" fontId="7" fillId="0" borderId="0" xfId="0" applyNumberFormat="1" applyFont="1" applyAlignment="1">
      <alignment horizontal="center"/>
    </xf>
    <xf numFmtId="2" fontId="7" fillId="2" borderId="0" xfId="0" applyNumberFormat="1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P12" sqref="P12"/>
    </sheetView>
  </sheetViews>
  <sheetFormatPr defaultRowHeight="15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5" t="s">
        <v>9</v>
      </c>
      <c r="K1" s="3" t="s">
        <v>10</v>
      </c>
    </row>
    <row r="2" spans="1:11" x14ac:dyDescent="0.25">
      <c r="A2" s="6" t="s">
        <v>11</v>
      </c>
      <c r="B2" s="7">
        <v>49.238259999999997</v>
      </c>
      <c r="C2" s="7">
        <v>49.355305000000001</v>
      </c>
      <c r="D2" s="8">
        <v>57.460234999999997</v>
      </c>
      <c r="E2" s="8">
        <v>58.243515000000002</v>
      </c>
      <c r="F2" s="9">
        <v>54.643325000000004</v>
      </c>
      <c r="G2" s="9">
        <v>53.857484999999997</v>
      </c>
      <c r="H2" s="7">
        <v>49.320515</v>
      </c>
      <c r="I2" s="7">
        <v>48.952205000000006</v>
      </c>
      <c r="J2" s="10">
        <v>52.588875000000002</v>
      </c>
      <c r="K2" s="8">
        <v>62.19491</v>
      </c>
    </row>
    <row r="3" spans="1:11" x14ac:dyDescent="0.25">
      <c r="A3" s="6" t="s">
        <v>12</v>
      </c>
      <c r="B3" s="7">
        <v>17.606810000000003</v>
      </c>
      <c r="C3" s="7">
        <v>17.666350000000001</v>
      </c>
      <c r="D3" s="8">
        <v>18.151605</v>
      </c>
      <c r="E3" s="8">
        <v>16.608890000000002</v>
      </c>
      <c r="F3" s="9">
        <v>18.007919999999999</v>
      </c>
      <c r="G3" s="9">
        <v>18.722329999999999</v>
      </c>
      <c r="H3" s="7">
        <v>17.667810000000003</v>
      </c>
      <c r="I3" s="7">
        <v>17.36647</v>
      </c>
      <c r="J3" s="10">
        <v>18.702185</v>
      </c>
      <c r="K3" s="8">
        <v>18.262675000000002</v>
      </c>
    </row>
    <row r="4" spans="1:11" x14ac:dyDescent="0.25">
      <c r="A4" s="6" t="s">
        <v>13</v>
      </c>
      <c r="B4" s="7">
        <v>6.6474500000000001</v>
      </c>
      <c r="C4" s="7">
        <v>6.6189149999999994</v>
      </c>
      <c r="D4" s="8">
        <v>2.986475</v>
      </c>
      <c r="E4" s="8">
        <v>4.2841849999999999</v>
      </c>
      <c r="F4" s="9">
        <v>4.2512150000000002</v>
      </c>
      <c r="G4" s="9">
        <v>4.6452850000000003</v>
      </c>
      <c r="H4" s="7">
        <v>7.0106599999999997</v>
      </c>
      <c r="I4" s="7">
        <v>6.9058650000000004</v>
      </c>
      <c r="J4" s="10">
        <v>4.1905850000000004</v>
      </c>
      <c r="K4" s="8">
        <v>2.978945</v>
      </c>
    </row>
    <row r="5" spans="1:11" x14ac:dyDescent="0.25">
      <c r="A5" s="6" t="s">
        <v>14</v>
      </c>
      <c r="B5" s="7">
        <v>8.4498500000000014</v>
      </c>
      <c r="C5" s="7">
        <v>8.6552250000000015</v>
      </c>
      <c r="D5" s="8">
        <v>7.1482950000000001</v>
      </c>
      <c r="E5" s="8">
        <v>7.2474349999999994</v>
      </c>
      <c r="F5" s="9">
        <v>8.1874900000000004</v>
      </c>
      <c r="G5" s="9">
        <v>8.3310650000000006</v>
      </c>
      <c r="H5" s="7">
        <v>9.4284400000000002</v>
      </c>
      <c r="I5" s="7">
        <v>9.3695400000000006</v>
      </c>
      <c r="J5" s="10">
        <v>8.3957149999999992</v>
      </c>
      <c r="K5" s="8">
        <v>6.4124649999999992</v>
      </c>
    </row>
    <row r="6" spans="1:11" x14ac:dyDescent="0.25">
      <c r="A6" s="6" t="s">
        <v>15</v>
      </c>
      <c r="B6" s="7">
        <v>0.16843</v>
      </c>
      <c r="C6" s="7">
        <v>0.16833999999999999</v>
      </c>
      <c r="D6" s="8">
        <v>0.10216500000000001</v>
      </c>
      <c r="E6" s="8">
        <v>9.7384999999999999E-2</v>
      </c>
      <c r="F6" s="9">
        <v>0.12984999999999999</v>
      </c>
      <c r="G6" s="9">
        <v>0.12769999999999998</v>
      </c>
      <c r="H6" s="7">
        <v>0.16012999999999999</v>
      </c>
      <c r="I6" s="7">
        <v>0.16528999999999999</v>
      </c>
      <c r="J6" s="10">
        <v>0.13755499999999998</v>
      </c>
      <c r="K6" s="8">
        <v>0.10316</v>
      </c>
    </row>
    <row r="7" spans="1:11" x14ac:dyDescent="0.25">
      <c r="A7" s="6" t="s">
        <v>16</v>
      </c>
      <c r="B7" s="7">
        <v>1.8368000000000002</v>
      </c>
      <c r="C7" s="7">
        <v>1.827275</v>
      </c>
      <c r="D7" s="8">
        <v>0.84828499999999996</v>
      </c>
      <c r="E7" s="8">
        <v>0.79100999999999999</v>
      </c>
      <c r="F7" s="9">
        <v>1.1091600000000001</v>
      </c>
      <c r="G7" s="9">
        <v>0.92383999999999999</v>
      </c>
      <c r="H7" s="7">
        <v>1.560665</v>
      </c>
      <c r="I7" s="7">
        <v>1.5725750000000001</v>
      </c>
      <c r="J7" s="10">
        <v>1.151945</v>
      </c>
      <c r="K7" s="8">
        <v>0.65748499999999999</v>
      </c>
    </row>
    <row r="8" spans="1:11" x14ac:dyDescent="0.25">
      <c r="A8" s="6" t="s">
        <v>17</v>
      </c>
      <c r="B8" s="7">
        <v>11.19154</v>
      </c>
      <c r="C8" s="7">
        <v>11.17061</v>
      </c>
      <c r="D8" s="8">
        <v>6.7680450000000008</v>
      </c>
      <c r="E8" s="8">
        <v>6.3211550000000001</v>
      </c>
      <c r="F8" s="9">
        <v>7.9727249999999996</v>
      </c>
      <c r="G8" s="9">
        <v>7.9193449999999999</v>
      </c>
      <c r="H8" s="7">
        <v>10.56986</v>
      </c>
      <c r="I8" s="7">
        <v>10.610675000000001</v>
      </c>
      <c r="J8" s="10">
        <v>8.8650800000000007</v>
      </c>
      <c r="K8" s="8">
        <v>5.9274249999999995</v>
      </c>
    </row>
    <row r="9" spans="1:11" x14ac:dyDescent="0.25">
      <c r="A9" s="6" t="s">
        <v>18</v>
      </c>
      <c r="B9" s="7">
        <f>B8/1.2</f>
        <v>9.3262833333333344</v>
      </c>
      <c r="C9" s="7">
        <f t="shared" ref="C9:K9" si="0">C8/1.2</f>
        <v>9.3088416666666678</v>
      </c>
      <c r="D9" s="7">
        <f t="shared" si="0"/>
        <v>5.6400375000000009</v>
      </c>
      <c r="E9" s="7">
        <f t="shared" si="0"/>
        <v>5.2676291666666666</v>
      </c>
      <c r="F9" s="7">
        <f t="shared" si="0"/>
        <v>6.6439374999999998</v>
      </c>
      <c r="G9" s="7">
        <f t="shared" si="0"/>
        <v>6.5994541666666668</v>
      </c>
      <c r="H9" s="7">
        <f t="shared" si="0"/>
        <v>8.8082166666666666</v>
      </c>
      <c r="I9" s="7">
        <f t="shared" si="0"/>
        <v>8.8422291666666677</v>
      </c>
      <c r="J9" s="10">
        <f t="shared" si="0"/>
        <v>7.3875666666666673</v>
      </c>
      <c r="K9" s="7">
        <f t="shared" si="0"/>
        <v>4.9395208333333329</v>
      </c>
    </row>
    <row r="10" spans="1:11" x14ac:dyDescent="0.25">
      <c r="A10" s="11" t="s">
        <v>18</v>
      </c>
      <c r="B10" s="12">
        <f>B8*0.8998</f>
        <v>10.070147692000001</v>
      </c>
      <c r="C10" s="12">
        <f t="shared" ref="C10:K10" si="1">C8*0.8998</f>
        <v>10.051314878000001</v>
      </c>
      <c r="D10" s="12">
        <f t="shared" si="1"/>
        <v>6.0898868910000008</v>
      </c>
      <c r="E10" s="12">
        <f t="shared" si="1"/>
        <v>5.6877752690000003</v>
      </c>
      <c r="F10" s="12">
        <f t="shared" si="1"/>
        <v>7.1738579549999999</v>
      </c>
      <c r="G10" s="12">
        <f t="shared" si="1"/>
        <v>7.1258266309999998</v>
      </c>
      <c r="H10" s="12">
        <f t="shared" si="1"/>
        <v>9.510760028</v>
      </c>
      <c r="I10" s="12">
        <f t="shared" si="1"/>
        <v>9.5474853650000018</v>
      </c>
      <c r="J10" s="13">
        <f t="shared" si="1"/>
        <v>7.9767989840000011</v>
      </c>
      <c r="K10" s="12">
        <f t="shared" si="1"/>
        <v>5.3334970149999998</v>
      </c>
    </row>
    <row r="11" spans="1:11" x14ac:dyDescent="0.25">
      <c r="A11" s="6" t="s">
        <v>19</v>
      </c>
      <c r="B11" s="7">
        <v>4.2274950000000002</v>
      </c>
      <c r="C11" s="7">
        <v>4.1577999999999999</v>
      </c>
      <c r="D11" s="8">
        <v>3.8723900000000002</v>
      </c>
      <c r="E11" s="8">
        <v>3.7756500000000002</v>
      </c>
      <c r="F11" s="9">
        <v>3.8926949999999998</v>
      </c>
      <c r="G11" s="9">
        <v>3.8520349999999999</v>
      </c>
      <c r="H11" s="7">
        <v>3.6616200000000001</v>
      </c>
      <c r="I11" s="7">
        <v>3.6319499999999998</v>
      </c>
      <c r="J11" s="10">
        <v>3.7618200000000002</v>
      </c>
      <c r="K11" s="8">
        <v>4.1600250000000001</v>
      </c>
    </row>
    <row r="12" spans="1:11" x14ac:dyDescent="0.25">
      <c r="A12" s="6" t="s">
        <v>20</v>
      </c>
      <c r="B12" s="7">
        <v>0.92812499999999998</v>
      </c>
      <c r="C12" s="7">
        <v>0.61918499999999999</v>
      </c>
      <c r="D12" s="8">
        <v>1.348155</v>
      </c>
      <c r="E12" s="8">
        <v>1.81063</v>
      </c>
      <c r="F12" s="9">
        <v>1.0416099999999999</v>
      </c>
      <c r="G12" s="9">
        <v>0.96534999999999993</v>
      </c>
      <c r="H12" s="7">
        <v>0.63226000000000004</v>
      </c>
      <c r="I12" s="7">
        <v>0.64522000000000002</v>
      </c>
      <c r="J12" s="10">
        <v>0.88962999999999992</v>
      </c>
      <c r="K12" s="8">
        <v>1.880045</v>
      </c>
    </row>
    <row r="13" spans="1:11" x14ac:dyDescent="0.25">
      <c r="A13" s="6" t="s">
        <v>21</v>
      </c>
      <c r="B13" s="7">
        <v>0.40612160600000002</v>
      </c>
      <c r="C13" s="7">
        <v>0.36942612149999998</v>
      </c>
      <c r="D13" s="8">
        <v>0.1777358765</v>
      </c>
      <c r="E13" s="8">
        <v>0.1801676415</v>
      </c>
      <c r="F13" s="9">
        <v>0.2296927255</v>
      </c>
      <c r="G13" s="9">
        <v>0.19627584750000002</v>
      </c>
      <c r="H13" s="7">
        <v>0.29388919699999999</v>
      </c>
      <c r="I13" s="7">
        <v>0.28568867399999998</v>
      </c>
      <c r="J13" s="10">
        <v>0.21838392149999999</v>
      </c>
      <c r="K13" s="8">
        <v>0.23663240099999999</v>
      </c>
    </row>
    <row r="14" spans="1:11" x14ac:dyDescent="0.25">
      <c r="A14" s="6" t="s">
        <v>22</v>
      </c>
      <c r="B14" s="7">
        <v>429.29943000000003</v>
      </c>
      <c r="C14" s="7">
        <v>436.03437500000001</v>
      </c>
      <c r="D14" s="8">
        <v>502.53747999999996</v>
      </c>
      <c r="E14" s="8">
        <v>464.15393499999999</v>
      </c>
      <c r="F14" s="9">
        <v>475.16527500000001</v>
      </c>
      <c r="G14" s="9">
        <v>528.31545000000006</v>
      </c>
      <c r="H14" s="7">
        <v>457.55299500000001</v>
      </c>
      <c r="I14" s="7">
        <v>449.27292499999999</v>
      </c>
      <c r="J14" s="10">
        <v>531.39183500000001</v>
      </c>
      <c r="K14" s="8">
        <v>465.70228499999996</v>
      </c>
    </row>
    <row r="15" spans="1:11" x14ac:dyDescent="0.25">
      <c r="A15" s="6" t="s">
        <v>23</v>
      </c>
      <c r="B15" s="7">
        <v>171.64182499999998</v>
      </c>
      <c r="C15" s="7">
        <v>310.21966499999996</v>
      </c>
      <c r="D15" s="8">
        <v>573.84610500000008</v>
      </c>
      <c r="E15" s="8">
        <v>982.05322000000001</v>
      </c>
      <c r="F15" s="9">
        <v>432.95074999999997</v>
      </c>
      <c r="G15" s="9">
        <v>489.98755</v>
      </c>
      <c r="H15" s="7">
        <v>363.64041999999995</v>
      </c>
      <c r="I15" s="7">
        <v>186.99830500000002</v>
      </c>
      <c r="J15" s="10">
        <v>1594.8533499999999</v>
      </c>
      <c r="K15" s="8">
        <v>542.59623499999998</v>
      </c>
    </row>
    <row r="16" spans="1:11" x14ac:dyDescent="0.25">
      <c r="A16" s="6" t="s">
        <v>24</v>
      </c>
      <c r="B16" s="14">
        <v>100.2701825</v>
      </c>
      <c r="C16" s="14">
        <v>100.15006499999998</v>
      </c>
      <c r="D16" s="15">
        <v>98.65240750000001</v>
      </c>
      <c r="E16" s="15">
        <v>99.111707499999994</v>
      </c>
      <c r="F16" s="16">
        <v>99.201015000000012</v>
      </c>
      <c r="G16" s="16">
        <v>99.395492500000003</v>
      </c>
      <c r="H16" s="14">
        <v>100.04873000000001</v>
      </c>
      <c r="I16" s="14">
        <v>99.246982500000001</v>
      </c>
      <c r="J16" s="17">
        <v>98.714645000000004</v>
      </c>
      <c r="K16" s="15">
        <v>102.50471999999999</v>
      </c>
    </row>
    <row r="17" spans="1:11" x14ac:dyDescent="0.25">
      <c r="A17" s="6" t="s">
        <v>25</v>
      </c>
      <c r="B17" s="7">
        <f>B11+B12</f>
        <v>5.1556199999999999</v>
      </c>
      <c r="C17" s="7">
        <f t="shared" ref="C17:K17" si="2">C11+C12</f>
        <v>4.7769849999999998</v>
      </c>
      <c r="D17" s="8">
        <f t="shared" si="2"/>
        <v>5.2205450000000004</v>
      </c>
      <c r="E17" s="8">
        <f t="shared" si="2"/>
        <v>5.5862800000000004</v>
      </c>
      <c r="F17" s="9">
        <f t="shared" si="2"/>
        <v>4.9343050000000002</v>
      </c>
      <c r="G17" s="9">
        <f t="shared" si="2"/>
        <v>4.8173849999999998</v>
      </c>
      <c r="H17" s="7">
        <f t="shared" si="2"/>
        <v>4.2938799999999997</v>
      </c>
      <c r="I17" s="7">
        <f t="shared" si="2"/>
        <v>4.2771699999999999</v>
      </c>
      <c r="J17" s="10">
        <f t="shared" si="2"/>
        <v>4.6514500000000005</v>
      </c>
      <c r="K17" s="8">
        <f t="shared" si="2"/>
        <v>6.0400700000000001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Altar Çağ</dc:creator>
  <cp:lastModifiedBy>Taha Altar Çağ</cp:lastModifiedBy>
  <dcterms:created xsi:type="dcterms:W3CDTF">2015-06-05T18:19:34Z</dcterms:created>
  <dcterms:modified xsi:type="dcterms:W3CDTF">2024-12-29T23:22:11Z</dcterms:modified>
</cp:coreProperties>
</file>