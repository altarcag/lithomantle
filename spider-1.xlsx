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0.xml" ContentType="application/vnd.ms-excel.person+xml"/>
  <Override PartName="/xl/persons/person.xml" ContentType="application/vnd.ms-excel.person+xml"/>
  <Override PartName="/xl/persons/person1.xml" ContentType="application/vnd.ms-excel.person+xml"/>
  <Override PartName="/xl/persons/person2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cettepeedutr-my.sharepoint.com/personal/biltan_hacettepe_edu_tr/Documents/Lectures/PROJE2023-2024/"/>
    </mc:Choice>
  </mc:AlternateContent>
  <xr:revisionPtr revIDLastSave="0" documentId="8_{2B481A1C-F81E-4461-9B8D-0DABA9CAD5AA}" xr6:coauthVersionLast="36" xr6:coauthVersionMax="36" xr10:uidLastSave="{00000000-0000-0000-0000-000000000000}"/>
  <bookViews>
    <workbookView xWindow="0" yWindow="0" windowWidth="23040" windowHeight="8940" tabRatio="608" firstSheet="1" activeTab="1" xr2:uid="{00000000-000D-0000-FFFF-FFFF00000000}"/>
  </bookViews>
  <sheets>
    <sheet name="SDSU all data" sheetId="1" r:id="rId1"/>
    <sheet name="All &gt;6%MgO" sheetId="2" r:id="rId2"/>
    <sheet name="REE" sheetId="4" r:id="rId3"/>
  </sheets>
  <calcPr calcId="191029"/>
</workbook>
</file>

<file path=xl/calcChain.xml><?xml version="1.0" encoding="utf-8"?>
<calcChain xmlns="http://schemas.openxmlformats.org/spreadsheetml/2006/main">
  <c r="LM4" i="2" l="1"/>
  <c r="LM5" i="2"/>
  <c r="LM6" i="2"/>
  <c r="LM7" i="2"/>
  <c r="LM8" i="2"/>
  <c r="LM9" i="2"/>
  <c r="LM10" i="2"/>
  <c r="LM11" i="2"/>
  <c r="LM12" i="2"/>
  <c r="LM13" i="2"/>
  <c r="LM14" i="2"/>
  <c r="LM15" i="2"/>
  <c r="LM16" i="2"/>
  <c r="LM17" i="2"/>
  <c r="LM18" i="2"/>
  <c r="LM19" i="2"/>
  <c r="LM20" i="2"/>
  <c r="LM21" i="2"/>
  <c r="LM22" i="2"/>
  <c r="LM23" i="2"/>
  <c r="LM24" i="2"/>
  <c r="LM25" i="2"/>
  <c r="LM3" i="2"/>
  <c r="LL4" i="2"/>
  <c r="LL5" i="2"/>
  <c r="LL6" i="2"/>
  <c r="LL7" i="2"/>
  <c r="LL8" i="2"/>
  <c r="LL9" i="2"/>
  <c r="LL10" i="2"/>
  <c r="LL11" i="2"/>
  <c r="LL12" i="2"/>
  <c r="LL13" i="2"/>
  <c r="LL14" i="2"/>
  <c r="LL15" i="2"/>
  <c r="LL16" i="2"/>
  <c r="LL17" i="2"/>
  <c r="LL18" i="2"/>
  <c r="LL19" i="2"/>
  <c r="LL20" i="2"/>
  <c r="LL21" i="2"/>
  <c r="LL22" i="2"/>
  <c r="LL23" i="2"/>
  <c r="LL24" i="2"/>
  <c r="LL25" i="2"/>
  <c r="LL3" i="2"/>
  <c r="LK4" i="2"/>
  <c r="LK5" i="2"/>
  <c r="LK6" i="2"/>
  <c r="LK7" i="2"/>
  <c r="LK8" i="2"/>
  <c r="LK9" i="2"/>
  <c r="LK10" i="2"/>
  <c r="LK11" i="2"/>
  <c r="LK12" i="2"/>
  <c r="LK13" i="2"/>
  <c r="LK14" i="2"/>
  <c r="LK15" i="2"/>
  <c r="LK16" i="2"/>
  <c r="LK17" i="2"/>
  <c r="LK18" i="2"/>
  <c r="LK19" i="2"/>
  <c r="LK20" i="2"/>
  <c r="LK21" i="2"/>
  <c r="LK22" i="2"/>
  <c r="LK23" i="2"/>
  <c r="LK24" i="2"/>
  <c r="LK25" i="2"/>
  <c r="LK3" i="2"/>
  <c r="LJ4" i="2"/>
  <c r="LJ5" i="2"/>
  <c r="LJ6" i="2"/>
  <c r="LJ7" i="2"/>
  <c r="LJ8" i="2"/>
  <c r="LJ9" i="2"/>
  <c r="LJ10" i="2"/>
  <c r="LJ11" i="2"/>
  <c r="LJ12" i="2"/>
  <c r="LJ13" i="2"/>
  <c r="LJ14" i="2"/>
  <c r="LJ15" i="2"/>
  <c r="LJ16" i="2"/>
  <c r="LJ17" i="2"/>
  <c r="LJ18" i="2"/>
  <c r="LJ19" i="2"/>
  <c r="LJ20" i="2"/>
  <c r="LJ21" i="2"/>
  <c r="LJ22" i="2"/>
  <c r="LJ23" i="2"/>
  <c r="LJ24" i="2"/>
  <c r="LJ25" i="2"/>
  <c r="LJ3" i="2"/>
  <c r="LI4" i="2"/>
  <c r="LI5" i="2"/>
  <c r="LI6" i="2"/>
  <c r="LI7" i="2"/>
  <c r="LI8" i="2"/>
  <c r="LI9" i="2"/>
  <c r="LI10" i="2"/>
  <c r="LI11" i="2"/>
  <c r="LI12" i="2"/>
  <c r="LI13" i="2"/>
  <c r="LI14" i="2"/>
  <c r="LI15" i="2"/>
  <c r="LI16" i="2"/>
  <c r="LI17" i="2"/>
  <c r="LI18" i="2"/>
  <c r="LI19" i="2"/>
  <c r="LI20" i="2"/>
  <c r="LI21" i="2"/>
  <c r="LI22" i="2"/>
  <c r="LI23" i="2"/>
  <c r="LI24" i="2"/>
  <c r="LI25" i="2"/>
  <c r="LI3" i="2"/>
  <c r="LH4" i="2"/>
  <c r="LH5" i="2"/>
  <c r="LH6" i="2"/>
  <c r="LH7" i="2"/>
  <c r="LH8" i="2"/>
  <c r="LH9" i="2"/>
  <c r="LH10" i="2"/>
  <c r="LH11" i="2"/>
  <c r="LH12" i="2"/>
  <c r="LH13" i="2"/>
  <c r="LH14" i="2"/>
  <c r="LH15" i="2"/>
  <c r="LH16" i="2"/>
  <c r="LH17" i="2"/>
  <c r="LH18" i="2"/>
  <c r="LH19" i="2"/>
  <c r="LH20" i="2"/>
  <c r="LH21" i="2"/>
  <c r="LH22" i="2"/>
  <c r="LH23" i="2"/>
  <c r="LH24" i="2"/>
  <c r="LH25" i="2"/>
  <c r="LH3" i="2"/>
  <c r="LG4" i="2"/>
  <c r="LG5" i="2"/>
  <c r="LG6" i="2"/>
  <c r="LG7" i="2"/>
  <c r="LG8" i="2"/>
  <c r="LG9" i="2"/>
  <c r="LG10" i="2"/>
  <c r="LG11" i="2"/>
  <c r="LG12" i="2"/>
  <c r="LG13" i="2"/>
  <c r="LG14" i="2"/>
  <c r="LG15" i="2"/>
  <c r="LG16" i="2"/>
  <c r="LG17" i="2"/>
  <c r="LG18" i="2"/>
  <c r="LG19" i="2"/>
  <c r="LG20" i="2"/>
  <c r="LG21" i="2"/>
  <c r="LG22" i="2"/>
  <c r="LG23" i="2"/>
  <c r="LG24" i="2"/>
  <c r="LG25" i="2"/>
  <c r="LG3" i="2"/>
  <c r="LF4" i="2"/>
  <c r="LF5" i="2"/>
  <c r="LF6" i="2"/>
  <c r="LF7" i="2"/>
  <c r="LF8" i="2"/>
  <c r="LF9" i="2"/>
  <c r="LF10" i="2"/>
  <c r="LF11" i="2"/>
  <c r="LF12" i="2"/>
  <c r="LF13" i="2"/>
  <c r="LF14" i="2"/>
  <c r="LF15" i="2"/>
  <c r="LF16" i="2"/>
  <c r="LF17" i="2"/>
  <c r="LF18" i="2"/>
  <c r="LF19" i="2"/>
  <c r="LF20" i="2"/>
  <c r="LF21" i="2"/>
  <c r="LF22" i="2"/>
  <c r="LF23" i="2"/>
  <c r="LF24" i="2"/>
  <c r="LF25" i="2"/>
  <c r="LF3" i="2"/>
  <c r="LE4" i="2"/>
  <c r="LE5" i="2"/>
  <c r="LE6" i="2"/>
  <c r="LE7" i="2"/>
  <c r="LE8" i="2"/>
  <c r="LE9" i="2"/>
  <c r="LE10" i="2"/>
  <c r="LE11" i="2"/>
  <c r="LE12" i="2"/>
  <c r="LE13" i="2"/>
  <c r="LE14" i="2"/>
  <c r="LE15" i="2"/>
  <c r="LE16" i="2"/>
  <c r="LE17" i="2"/>
  <c r="LE18" i="2"/>
  <c r="LE19" i="2"/>
  <c r="LE20" i="2"/>
  <c r="LE21" i="2"/>
  <c r="LE22" i="2"/>
  <c r="LE23" i="2"/>
  <c r="LE24" i="2"/>
  <c r="LE25" i="2"/>
  <c r="LE3" i="2"/>
  <c r="LD4" i="2"/>
  <c r="LD5" i="2"/>
  <c r="LD6" i="2"/>
  <c r="LD7" i="2"/>
  <c r="LD8" i="2"/>
  <c r="LD9" i="2"/>
  <c r="LD10" i="2"/>
  <c r="LD11" i="2"/>
  <c r="LD12" i="2"/>
  <c r="LD13" i="2"/>
  <c r="LD14" i="2"/>
  <c r="LD15" i="2"/>
  <c r="LD16" i="2"/>
  <c r="LD17" i="2"/>
  <c r="LD18" i="2"/>
  <c r="LD19" i="2"/>
  <c r="LD20" i="2"/>
  <c r="LD21" i="2"/>
  <c r="LD22" i="2"/>
  <c r="LD23" i="2"/>
  <c r="LD24" i="2"/>
  <c r="LD25" i="2"/>
  <c r="LD3" i="2"/>
  <c r="LC4" i="2"/>
  <c r="LC5" i="2"/>
  <c r="LC6" i="2"/>
  <c r="LC7" i="2"/>
  <c r="LC8" i="2"/>
  <c r="LC9" i="2"/>
  <c r="LC10" i="2"/>
  <c r="LC11" i="2"/>
  <c r="LC12" i="2"/>
  <c r="LC13" i="2"/>
  <c r="LC14" i="2"/>
  <c r="LC15" i="2"/>
  <c r="LC16" i="2"/>
  <c r="LC17" i="2"/>
  <c r="LC18" i="2"/>
  <c r="LC19" i="2"/>
  <c r="LC20" i="2"/>
  <c r="LC21" i="2"/>
  <c r="LC22" i="2"/>
  <c r="LC23" i="2"/>
  <c r="LC24" i="2"/>
  <c r="LC25" i="2"/>
  <c r="LC3" i="2"/>
  <c r="LB4" i="2"/>
  <c r="LB5" i="2"/>
  <c r="LB6" i="2"/>
  <c r="LB7" i="2"/>
  <c r="LB8" i="2"/>
  <c r="LB9" i="2"/>
  <c r="LB10" i="2"/>
  <c r="LB11" i="2"/>
  <c r="LB12" i="2"/>
  <c r="LB13" i="2"/>
  <c r="LB14" i="2"/>
  <c r="LB15" i="2"/>
  <c r="LB16" i="2"/>
  <c r="LB17" i="2"/>
  <c r="LB18" i="2"/>
  <c r="LB19" i="2"/>
  <c r="LB20" i="2"/>
  <c r="LB21" i="2"/>
  <c r="LB22" i="2"/>
  <c r="LB23" i="2"/>
  <c r="LB24" i="2"/>
  <c r="LB25" i="2"/>
  <c r="LB3" i="2"/>
  <c r="LA4" i="2"/>
  <c r="LA5" i="2"/>
  <c r="LA6" i="2"/>
  <c r="LA7" i="2"/>
  <c r="LA8" i="2"/>
  <c r="LA9" i="2"/>
  <c r="LA11" i="2"/>
  <c r="LA12" i="2"/>
  <c r="LA13" i="2"/>
  <c r="LA14" i="2"/>
  <c r="LA16" i="2"/>
  <c r="LA17" i="2"/>
  <c r="LA18" i="2"/>
  <c r="LA19" i="2"/>
  <c r="LA20" i="2"/>
  <c r="LA22" i="2"/>
  <c r="LA23" i="2"/>
  <c r="LA24" i="2"/>
  <c r="LA25" i="2"/>
  <c r="LA3" i="2"/>
  <c r="KZ4" i="2"/>
  <c r="KZ5" i="2"/>
  <c r="KZ6" i="2"/>
  <c r="KZ7" i="2"/>
  <c r="KZ8" i="2"/>
  <c r="KZ9" i="2"/>
  <c r="KZ10" i="2"/>
  <c r="KZ11" i="2"/>
  <c r="KZ12" i="2"/>
  <c r="KZ13" i="2"/>
  <c r="KZ14" i="2"/>
  <c r="KZ15" i="2"/>
  <c r="KZ16" i="2"/>
  <c r="KZ17" i="2"/>
  <c r="KZ18" i="2"/>
  <c r="KZ19" i="2"/>
  <c r="KZ20" i="2"/>
  <c r="KZ21" i="2"/>
  <c r="KZ22" i="2"/>
  <c r="KZ23" i="2"/>
  <c r="KZ24" i="2"/>
  <c r="KZ25" i="2"/>
  <c r="KZ3" i="2"/>
  <c r="KY4" i="2"/>
  <c r="KY5" i="2"/>
  <c r="KY6" i="2"/>
  <c r="KY7" i="2"/>
  <c r="KY8" i="2"/>
  <c r="KY9" i="2"/>
  <c r="KY10" i="2"/>
  <c r="KY11" i="2"/>
  <c r="KY12" i="2"/>
  <c r="KY13" i="2"/>
  <c r="KY14" i="2"/>
  <c r="KY15" i="2"/>
  <c r="KY16" i="2"/>
  <c r="KY17" i="2"/>
  <c r="KY18" i="2"/>
  <c r="KY19" i="2"/>
  <c r="KY20" i="2"/>
  <c r="KY21" i="2"/>
  <c r="KY22" i="2"/>
  <c r="KY23" i="2"/>
  <c r="KY24" i="2"/>
  <c r="KY25" i="2"/>
  <c r="KY3" i="2"/>
  <c r="KX4" i="2"/>
  <c r="KX5" i="2"/>
  <c r="KX6" i="2"/>
  <c r="KX7" i="2"/>
  <c r="KX8" i="2"/>
  <c r="KX9" i="2"/>
  <c r="KX10" i="2"/>
  <c r="KX11" i="2"/>
  <c r="KX12" i="2"/>
  <c r="KX13" i="2"/>
  <c r="KX14" i="2"/>
  <c r="KX15" i="2"/>
  <c r="KX16" i="2"/>
  <c r="KX17" i="2"/>
  <c r="KX18" i="2"/>
  <c r="KX19" i="2"/>
  <c r="KX20" i="2"/>
  <c r="KX21" i="2"/>
  <c r="KX22" i="2"/>
  <c r="KX23" i="2"/>
  <c r="KX24" i="2"/>
  <c r="KX25" i="2"/>
  <c r="KX3" i="2"/>
  <c r="KW4" i="2"/>
  <c r="KW5" i="2"/>
  <c r="KW6" i="2"/>
  <c r="KW7" i="2"/>
  <c r="KW8" i="2"/>
  <c r="KW9" i="2"/>
  <c r="KW10" i="2"/>
  <c r="KW11" i="2"/>
  <c r="KW12" i="2"/>
  <c r="KW13" i="2"/>
  <c r="KW14" i="2"/>
  <c r="KW15" i="2"/>
  <c r="KW16" i="2"/>
  <c r="KW17" i="2"/>
  <c r="KW18" i="2"/>
  <c r="KW19" i="2"/>
  <c r="KW20" i="2"/>
  <c r="KW21" i="2"/>
  <c r="KW22" i="2"/>
  <c r="KW23" i="2"/>
  <c r="KW24" i="2"/>
  <c r="KW25" i="2"/>
  <c r="KW3" i="2"/>
  <c r="KU4" i="2"/>
  <c r="KU5" i="2"/>
  <c r="KU6" i="2"/>
  <c r="KU7" i="2"/>
  <c r="KU8" i="2"/>
  <c r="KU9" i="2"/>
  <c r="KU10" i="2"/>
  <c r="KU11" i="2"/>
  <c r="KU12" i="2"/>
  <c r="KU13" i="2"/>
  <c r="KU14" i="2"/>
  <c r="KU15" i="2"/>
  <c r="KU16" i="2"/>
  <c r="KU17" i="2"/>
  <c r="KU18" i="2"/>
  <c r="KU19" i="2"/>
  <c r="KU20" i="2"/>
  <c r="KU21" i="2"/>
  <c r="KU22" i="2"/>
  <c r="KU23" i="2"/>
  <c r="KU24" i="2"/>
  <c r="KU25" i="2"/>
  <c r="KU3" i="2"/>
  <c r="KT4" i="2"/>
  <c r="KT5" i="2"/>
  <c r="KT6" i="2"/>
  <c r="KT7" i="2"/>
  <c r="KT8" i="2"/>
  <c r="KT9" i="2"/>
  <c r="KT10" i="2"/>
  <c r="KT11" i="2"/>
  <c r="KT12" i="2"/>
  <c r="KT13" i="2"/>
  <c r="KT14" i="2"/>
  <c r="KT15" i="2"/>
  <c r="KT16" i="2"/>
  <c r="KT17" i="2"/>
  <c r="KT18" i="2"/>
  <c r="KT19" i="2"/>
  <c r="KT20" i="2"/>
  <c r="KT21" i="2"/>
  <c r="KT22" i="2"/>
  <c r="KT23" i="2"/>
  <c r="KT24" i="2"/>
  <c r="KT25" i="2"/>
  <c r="KT3" i="2"/>
  <c r="KS25" i="2"/>
  <c r="KS24" i="2"/>
  <c r="KS23" i="2"/>
  <c r="KS22" i="2"/>
  <c r="KS21" i="2"/>
  <c r="KS20" i="2"/>
  <c r="KS19" i="2"/>
  <c r="KS18" i="2"/>
  <c r="KS17" i="2"/>
  <c r="KS16" i="2"/>
  <c r="KS15" i="2"/>
  <c r="KS14" i="2"/>
  <c r="KS13" i="2"/>
  <c r="KS12" i="2"/>
  <c r="KS11" i="2"/>
  <c r="KS10" i="2"/>
  <c r="KS9" i="2"/>
  <c r="KS8" i="2"/>
  <c r="KS7" i="2"/>
  <c r="KS6" i="2"/>
  <c r="KS5" i="2"/>
  <c r="KS4" i="2"/>
  <c r="KS3" i="2"/>
  <c r="KQ4" i="2"/>
  <c r="KQ5" i="2"/>
  <c r="KQ7" i="2"/>
  <c r="KQ8" i="2"/>
  <c r="KQ9" i="2"/>
  <c r="KQ10" i="2"/>
  <c r="KQ11" i="2"/>
  <c r="KQ12" i="2"/>
  <c r="KQ13" i="2"/>
  <c r="KQ14" i="2"/>
  <c r="KQ15" i="2"/>
  <c r="KQ16" i="2"/>
  <c r="KQ17" i="2"/>
  <c r="KQ18" i="2"/>
  <c r="KQ19" i="2"/>
  <c r="KQ20" i="2"/>
  <c r="KQ21" i="2"/>
  <c r="KQ22" i="2"/>
  <c r="KQ23" i="2"/>
  <c r="KQ24" i="2"/>
  <c r="KQ25" i="2"/>
  <c r="KQ3" i="2"/>
  <c r="KP4" i="2"/>
  <c r="KP5" i="2"/>
  <c r="KP6" i="2"/>
  <c r="KP7" i="2"/>
  <c r="KP8" i="2"/>
  <c r="KP9" i="2"/>
  <c r="KP10" i="2"/>
  <c r="KP11" i="2"/>
  <c r="KP12" i="2"/>
  <c r="KP13" i="2"/>
  <c r="KP14" i="2"/>
  <c r="KP15" i="2"/>
  <c r="KP16" i="2"/>
  <c r="KP17" i="2"/>
  <c r="KP18" i="2"/>
  <c r="KP19" i="2"/>
  <c r="KP20" i="2"/>
  <c r="KP21" i="2"/>
  <c r="KP22" i="2"/>
  <c r="KP23" i="2"/>
  <c r="KP24" i="2"/>
  <c r="KP25" i="2"/>
  <c r="KP3" i="2"/>
  <c r="KO4" i="2"/>
  <c r="KO5" i="2"/>
  <c r="KO6" i="2"/>
  <c r="KO7" i="2"/>
  <c r="KO8" i="2"/>
  <c r="KO9" i="2"/>
  <c r="KO10" i="2"/>
  <c r="KO11" i="2"/>
  <c r="KO12" i="2"/>
  <c r="KO13" i="2"/>
  <c r="KO14" i="2"/>
  <c r="KO15" i="2"/>
  <c r="KO16" i="2"/>
  <c r="KO17" i="2"/>
  <c r="KO18" i="2"/>
  <c r="KO19" i="2"/>
  <c r="KO20" i="2"/>
  <c r="KO21" i="2"/>
  <c r="KO22" i="2"/>
  <c r="KO23" i="2"/>
  <c r="KO24" i="2"/>
  <c r="KO25" i="2"/>
  <c r="KO3" i="2"/>
  <c r="KN4" i="2"/>
  <c r="KN5" i="2"/>
  <c r="KN6" i="2"/>
  <c r="KN7" i="2"/>
  <c r="KN8" i="2"/>
  <c r="KN9" i="2"/>
  <c r="KN10" i="2"/>
  <c r="KN11" i="2"/>
  <c r="KN12" i="2"/>
  <c r="KN13" i="2"/>
  <c r="KN14" i="2"/>
  <c r="KN15" i="2"/>
  <c r="KN16" i="2"/>
  <c r="KN17" i="2"/>
  <c r="KN18" i="2"/>
  <c r="KN19" i="2"/>
  <c r="KN20" i="2"/>
  <c r="KN21" i="2"/>
  <c r="KN22" i="2"/>
  <c r="KN23" i="2"/>
  <c r="KN24" i="2"/>
  <c r="KN25" i="2"/>
  <c r="KN3" i="2"/>
  <c r="KM4" i="2"/>
  <c r="KM5" i="2"/>
  <c r="KM6" i="2"/>
  <c r="KM7" i="2"/>
  <c r="KM8" i="2"/>
  <c r="KM9" i="2"/>
  <c r="KM10" i="2"/>
  <c r="KM11" i="2"/>
  <c r="KM12" i="2"/>
  <c r="KM13" i="2"/>
  <c r="KM14" i="2"/>
  <c r="KM15" i="2"/>
  <c r="KM16" i="2"/>
  <c r="KM17" i="2"/>
  <c r="KM18" i="2"/>
  <c r="KM19" i="2"/>
  <c r="KM20" i="2"/>
  <c r="KM21" i="2"/>
  <c r="KM22" i="2"/>
  <c r="KM23" i="2"/>
  <c r="KM24" i="2"/>
  <c r="KM25" i="2"/>
  <c r="KM3" i="2"/>
  <c r="KL4" i="2"/>
  <c r="KL5" i="2"/>
  <c r="KL6" i="2"/>
  <c r="KL7" i="2"/>
  <c r="KL8" i="2"/>
  <c r="KL9" i="2"/>
  <c r="KL10" i="2"/>
  <c r="KL11" i="2"/>
  <c r="KL12" i="2"/>
  <c r="KL13" i="2"/>
  <c r="KL14" i="2"/>
  <c r="KL15" i="2"/>
  <c r="KL16" i="2"/>
  <c r="KL17" i="2"/>
  <c r="KL18" i="2"/>
  <c r="KL19" i="2"/>
  <c r="KL20" i="2"/>
  <c r="KL21" i="2"/>
  <c r="KL22" i="2"/>
  <c r="KL23" i="2"/>
  <c r="KL24" i="2"/>
  <c r="KL25" i="2"/>
  <c r="KL3" i="2"/>
  <c r="KK4" i="2"/>
  <c r="KK5" i="2"/>
  <c r="KK6" i="2"/>
  <c r="KK7" i="2"/>
  <c r="KK8" i="2"/>
  <c r="KK9" i="2"/>
  <c r="KK10" i="2"/>
  <c r="KK11" i="2"/>
  <c r="KK12" i="2"/>
  <c r="KK13" i="2"/>
  <c r="KK14" i="2"/>
  <c r="KK15" i="2"/>
  <c r="KK16" i="2"/>
  <c r="KK17" i="2"/>
  <c r="KK18" i="2"/>
  <c r="KK19" i="2"/>
  <c r="KK20" i="2"/>
  <c r="KK21" i="2"/>
  <c r="KK22" i="2"/>
  <c r="KK23" i="2"/>
  <c r="KK24" i="2"/>
  <c r="KK25" i="2"/>
  <c r="KK3" i="2"/>
  <c r="KJ4" i="2"/>
  <c r="KJ5" i="2"/>
  <c r="KJ6" i="2"/>
  <c r="KJ7" i="2"/>
  <c r="KJ8" i="2"/>
  <c r="KJ9" i="2"/>
  <c r="KJ10" i="2"/>
  <c r="KJ11" i="2"/>
  <c r="KJ12" i="2"/>
  <c r="KJ13" i="2"/>
  <c r="KJ14" i="2"/>
  <c r="KJ15" i="2"/>
  <c r="KJ16" i="2"/>
  <c r="KJ17" i="2"/>
  <c r="KJ18" i="2"/>
  <c r="KJ19" i="2"/>
  <c r="KJ20" i="2"/>
  <c r="KJ21" i="2"/>
  <c r="KJ22" i="2"/>
  <c r="KJ23" i="2"/>
  <c r="KJ24" i="2"/>
  <c r="KJ25" i="2"/>
  <c r="KJ3" i="2"/>
  <c r="KI4" i="2"/>
  <c r="KI5" i="2"/>
  <c r="KI6" i="2"/>
  <c r="KI7" i="2"/>
  <c r="KI8" i="2"/>
  <c r="KI9" i="2"/>
  <c r="KI10" i="2"/>
  <c r="KI11" i="2"/>
  <c r="KI12" i="2"/>
  <c r="KI13" i="2"/>
  <c r="KI14" i="2"/>
  <c r="KI15" i="2"/>
  <c r="KI16" i="2"/>
  <c r="KI17" i="2"/>
  <c r="KI18" i="2"/>
  <c r="KI19" i="2"/>
  <c r="KI20" i="2"/>
  <c r="KI21" i="2"/>
  <c r="KI22" i="2"/>
  <c r="KI23" i="2"/>
  <c r="KI24" i="2"/>
  <c r="KI25" i="2"/>
  <c r="KI3" i="2"/>
  <c r="KH4" i="2"/>
  <c r="KH5" i="2"/>
  <c r="KH6" i="2"/>
  <c r="KH7" i="2"/>
  <c r="KH8" i="2"/>
  <c r="KH9" i="2"/>
  <c r="KH10" i="2"/>
  <c r="KH11" i="2"/>
  <c r="KH12" i="2"/>
  <c r="KH13" i="2"/>
  <c r="KH14" i="2"/>
  <c r="KH15" i="2"/>
  <c r="KH16" i="2"/>
  <c r="KH17" i="2"/>
  <c r="KH18" i="2"/>
  <c r="KH19" i="2"/>
  <c r="KH20" i="2"/>
  <c r="KH21" i="2"/>
  <c r="KH22" i="2"/>
  <c r="KH23" i="2"/>
  <c r="KH24" i="2"/>
  <c r="KH25" i="2"/>
  <c r="KH3" i="2"/>
  <c r="KG4" i="2"/>
  <c r="KG5" i="2"/>
  <c r="KG6" i="2"/>
  <c r="KG7" i="2"/>
  <c r="KG8" i="2"/>
  <c r="KG9" i="2"/>
  <c r="KG10" i="2"/>
  <c r="KG11" i="2"/>
  <c r="KG12" i="2"/>
  <c r="KG13" i="2"/>
  <c r="KG14" i="2"/>
  <c r="KG15" i="2"/>
  <c r="KG16" i="2"/>
  <c r="KG17" i="2"/>
  <c r="KG18" i="2"/>
  <c r="KG19" i="2"/>
  <c r="KG20" i="2"/>
  <c r="KG21" i="2"/>
  <c r="KG22" i="2"/>
  <c r="KG23" i="2"/>
  <c r="KG24" i="2"/>
  <c r="KG25" i="2"/>
  <c r="KG3" i="2"/>
  <c r="KF4" i="2"/>
  <c r="KF5" i="2"/>
  <c r="KF6" i="2"/>
  <c r="KF7" i="2"/>
  <c r="KF8" i="2"/>
  <c r="KF9" i="2"/>
  <c r="KF10" i="2"/>
  <c r="KF11" i="2"/>
  <c r="KF12" i="2"/>
  <c r="KF13" i="2"/>
  <c r="KF14" i="2"/>
  <c r="KF15" i="2"/>
  <c r="KF16" i="2"/>
  <c r="KF17" i="2"/>
  <c r="KF18" i="2"/>
  <c r="KF19" i="2"/>
  <c r="KF20" i="2"/>
  <c r="KF21" i="2"/>
  <c r="KF22" i="2"/>
  <c r="KF23" i="2"/>
  <c r="KF24" i="2"/>
  <c r="KF25" i="2"/>
  <c r="KF3" i="2"/>
  <c r="KE4" i="2"/>
  <c r="KE5" i="2"/>
  <c r="KE7" i="2"/>
  <c r="KE8" i="2"/>
  <c r="KE9" i="2"/>
  <c r="KE10" i="2"/>
  <c r="KE11" i="2"/>
  <c r="KE12" i="2"/>
  <c r="KE13" i="2"/>
  <c r="KE14" i="2"/>
  <c r="KE15" i="2"/>
  <c r="KE16" i="2"/>
  <c r="KE17" i="2"/>
  <c r="KE18" i="2"/>
  <c r="KE19" i="2"/>
  <c r="KE20" i="2"/>
  <c r="KE21" i="2"/>
  <c r="KE22" i="2"/>
  <c r="KE23" i="2"/>
  <c r="KE24" i="2"/>
  <c r="KE25" i="2"/>
  <c r="KE3" i="2"/>
  <c r="KD4" i="2"/>
  <c r="KD5" i="2"/>
  <c r="KD6" i="2"/>
  <c r="KD7" i="2"/>
  <c r="KD8" i="2"/>
  <c r="KD9" i="2"/>
  <c r="KD10" i="2"/>
  <c r="KD11" i="2"/>
  <c r="KD12" i="2"/>
  <c r="KD13" i="2"/>
  <c r="KD14" i="2"/>
  <c r="KD15" i="2"/>
  <c r="KD16" i="2"/>
  <c r="KD17" i="2"/>
  <c r="KD18" i="2"/>
  <c r="KD19" i="2"/>
  <c r="KD20" i="2"/>
  <c r="KD21" i="2"/>
  <c r="KD22" i="2"/>
  <c r="KD23" i="2"/>
  <c r="KD24" i="2"/>
  <c r="KD25" i="2"/>
  <c r="KD3" i="2"/>
  <c r="KC4" i="2"/>
  <c r="KC5" i="2"/>
  <c r="KC6" i="2"/>
  <c r="KC7" i="2"/>
  <c r="KC8" i="2"/>
  <c r="KC9" i="2"/>
  <c r="KC10" i="2"/>
  <c r="KC11" i="2"/>
  <c r="KC12" i="2"/>
  <c r="KC13" i="2"/>
  <c r="KC14" i="2"/>
  <c r="KC15" i="2"/>
  <c r="KC16" i="2"/>
  <c r="KC17" i="2"/>
  <c r="KC18" i="2"/>
  <c r="KC19" i="2"/>
  <c r="KC20" i="2"/>
  <c r="KC21" i="2"/>
  <c r="KC22" i="2"/>
  <c r="KC23" i="2"/>
  <c r="KC24" i="2"/>
  <c r="KC25" i="2"/>
  <c r="KC3" i="2"/>
  <c r="KB4" i="2"/>
  <c r="KB5" i="2"/>
  <c r="KB6" i="2"/>
  <c r="KB7" i="2"/>
  <c r="KB8" i="2"/>
  <c r="KB9" i="2"/>
  <c r="KB10" i="2"/>
  <c r="KB11" i="2"/>
  <c r="KB12" i="2"/>
  <c r="KB13" i="2"/>
  <c r="KB14" i="2"/>
  <c r="KB15" i="2"/>
  <c r="KB16" i="2"/>
  <c r="KB17" i="2"/>
  <c r="KB18" i="2"/>
  <c r="KB19" i="2"/>
  <c r="KB20" i="2"/>
  <c r="KB21" i="2"/>
  <c r="KB22" i="2"/>
  <c r="KB23" i="2"/>
  <c r="KB24" i="2"/>
  <c r="KB25" i="2"/>
  <c r="KB3" i="2"/>
  <c r="KA4" i="2"/>
  <c r="KA5" i="2"/>
  <c r="KA6" i="2"/>
  <c r="KA7" i="2"/>
  <c r="KA8" i="2"/>
  <c r="KA9" i="2"/>
  <c r="KA10" i="2"/>
  <c r="KA11" i="2"/>
  <c r="KA12" i="2"/>
  <c r="KA13" i="2"/>
  <c r="KA14" i="2"/>
  <c r="KA15" i="2"/>
  <c r="KA16" i="2"/>
  <c r="KA17" i="2"/>
  <c r="KA18" i="2"/>
  <c r="KA19" i="2"/>
  <c r="KA20" i="2"/>
  <c r="KA21" i="2"/>
  <c r="KA22" i="2"/>
  <c r="KA23" i="2"/>
  <c r="KA24" i="2"/>
  <c r="KA25" i="2"/>
  <c r="KA3" i="2"/>
  <c r="JZ4" i="2"/>
  <c r="JZ5" i="2"/>
  <c r="JZ6" i="2"/>
  <c r="JZ7" i="2"/>
  <c r="JZ8" i="2"/>
  <c r="JZ9" i="2"/>
  <c r="JZ10" i="2"/>
  <c r="JZ11" i="2"/>
  <c r="JZ12" i="2"/>
  <c r="JZ13" i="2"/>
  <c r="JZ14" i="2"/>
  <c r="JZ15" i="2"/>
  <c r="JZ16" i="2"/>
  <c r="JZ17" i="2"/>
  <c r="JZ18" i="2"/>
  <c r="JZ19" i="2"/>
  <c r="JZ20" i="2"/>
  <c r="JZ21" i="2"/>
  <c r="JZ22" i="2"/>
  <c r="JZ23" i="2"/>
  <c r="JZ24" i="2"/>
  <c r="JZ25" i="2"/>
  <c r="JZ3" i="2"/>
  <c r="JY4" i="2"/>
  <c r="JY5" i="2"/>
  <c r="JY6" i="2"/>
  <c r="JY7" i="2"/>
  <c r="JY8" i="2"/>
  <c r="JY9" i="2"/>
  <c r="JY10" i="2"/>
  <c r="JY11" i="2"/>
  <c r="JY12" i="2"/>
  <c r="JY13" i="2"/>
  <c r="JY14" i="2"/>
  <c r="JY15" i="2"/>
  <c r="JY16" i="2"/>
  <c r="JY17" i="2"/>
  <c r="JY18" i="2"/>
  <c r="JY19" i="2"/>
  <c r="JY20" i="2"/>
  <c r="JY21" i="2"/>
  <c r="JY22" i="2"/>
  <c r="JY23" i="2"/>
  <c r="JY24" i="2"/>
  <c r="JY25" i="2"/>
  <c r="JY3" i="2"/>
  <c r="JX4" i="2"/>
  <c r="JX5" i="2"/>
  <c r="JX6" i="2"/>
  <c r="JX7" i="2"/>
  <c r="JX8" i="2"/>
  <c r="JX9" i="2"/>
  <c r="JX10" i="2"/>
  <c r="JX11" i="2"/>
  <c r="JX12" i="2"/>
  <c r="JX13" i="2"/>
  <c r="JX14" i="2"/>
  <c r="JX15" i="2"/>
  <c r="JX16" i="2"/>
  <c r="JX17" i="2"/>
  <c r="JX18" i="2"/>
  <c r="JX19" i="2"/>
  <c r="JX20" i="2"/>
  <c r="JX21" i="2"/>
  <c r="JX22" i="2"/>
  <c r="JX23" i="2"/>
  <c r="JX24" i="2"/>
  <c r="JX25" i="2"/>
  <c r="JX3" i="2"/>
  <c r="JW4" i="2"/>
  <c r="JW5" i="2"/>
  <c r="JW6" i="2"/>
  <c r="JW7" i="2"/>
  <c r="JW8" i="2"/>
  <c r="JW9" i="2"/>
  <c r="JW10" i="2"/>
  <c r="JW11" i="2"/>
  <c r="JW12" i="2"/>
  <c r="JW13" i="2"/>
  <c r="JW14" i="2"/>
  <c r="JW15" i="2"/>
  <c r="JW16" i="2"/>
  <c r="JW17" i="2"/>
  <c r="JW18" i="2"/>
  <c r="JW19" i="2"/>
  <c r="JW20" i="2"/>
  <c r="JW21" i="2"/>
  <c r="JW22" i="2"/>
  <c r="JW23" i="2"/>
  <c r="JW24" i="2"/>
  <c r="JW25" i="2"/>
  <c r="JW3" i="2"/>
  <c r="JV4" i="2"/>
  <c r="JV5" i="2"/>
  <c r="JV6" i="2"/>
  <c r="JV7" i="2"/>
  <c r="JV8" i="2"/>
  <c r="JV9" i="2"/>
  <c r="JV10" i="2"/>
  <c r="JV11" i="2"/>
  <c r="JV12" i="2"/>
  <c r="JV13" i="2"/>
  <c r="JV14" i="2"/>
  <c r="JV15" i="2"/>
  <c r="JV16" i="2"/>
  <c r="JV17" i="2"/>
  <c r="JV18" i="2"/>
  <c r="JV19" i="2"/>
  <c r="JV20" i="2"/>
  <c r="JV21" i="2"/>
  <c r="JV22" i="2"/>
  <c r="JV23" i="2"/>
  <c r="JV24" i="2"/>
  <c r="JV25" i="2"/>
  <c r="JV3" i="2"/>
  <c r="HR4" i="2"/>
  <c r="HS4" i="2"/>
  <c r="HT4" i="2"/>
  <c r="HU4" i="2"/>
  <c r="HR5" i="2"/>
  <c r="HS5" i="2"/>
  <c r="HT5" i="2"/>
  <c r="HU5" i="2"/>
  <c r="HR6" i="2"/>
  <c r="HT6" i="2"/>
  <c r="HU6" i="2"/>
  <c r="HR7" i="2"/>
  <c r="HT7" i="2"/>
  <c r="HR8" i="2"/>
  <c r="HS8" i="2"/>
  <c r="HT8" i="2"/>
  <c r="HU8" i="2"/>
  <c r="HR9" i="2"/>
  <c r="HT9" i="2"/>
  <c r="HU9" i="2"/>
  <c r="HR10" i="2"/>
  <c r="HS10" i="2"/>
  <c r="HT10" i="2"/>
  <c r="HU10" i="2"/>
  <c r="HR11" i="2"/>
  <c r="HS11" i="2"/>
  <c r="HT11" i="2"/>
  <c r="HU11" i="2"/>
  <c r="HR12" i="2"/>
  <c r="HS12" i="2"/>
  <c r="HT12" i="2"/>
  <c r="HU12" i="2"/>
  <c r="HR13" i="2"/>
  <c r="HS13" i="2"/>
  <c r="HT13" i="2"/>
  <c r="HU13" i="2"/>
  <c r="HR14" i="2"/>
  <c r="HS14" i="2"/>
  <c r="HT14" i="2"/>
  <c r="HU14" i="2"/>
  <c r="HR15" i="2"/>
  <c r="HS15" i="2"/>
  <c r="HT15" i="2"/>
  <c r="HU15" i="2"/>
  <c r="HR16" i="2"/>
  <c r="HS16" i="2"/>
  <c r="HT16" i="2"/>
  <c r="HU16" i="2"/>
  <c r="HR17" i="2"/>
  <c r="HS17" i="2"/>
  <c r="HT17" i="2"/>
  <c r="HU17" i="2"/>
  <c r="HR18" i="2"/>
  <c r="HS18" i="2"/>
  <c r="HT18" i="2"/>
  <c r="HU18" i="2"/>
  <c r="HR19" i="2"/>
  <c r="HT19" i="2"/>
  <c r="HU19" i="2"/>
  <c r="HR20" i="2"/>
  <c r="HS20" i="2"/>
  <c r="HT20" i="2"/>
  <c r="HU20" i="2"/>
  <c r="HR21" i="2"/>
  <c r="HS21" i="2"/>
  <c r="HT21" i="2"/>
  <c r="HU21" i="2"/>
  <c r="HR22" i="2"/>
  <c r="HT22" i="2"/>
  <c r="HU22" i="2"/>
  <c r="HR23" i="2"/>
  <c r="HS23" i="2"/>
  <c r="HT23" i="2"/>
  <c r="HU23" i="2"/>
  <c r="HR24" i="2"/>
  <c r="HS24" i="2"/>
  <c r="HT24" i="2"/>
  <c r="HU24" i="2"/>
  <c r="HR25" i="2"/>
  <c r="HS25" i="2"/>
  <c r="HT25" i="2"/>
  <c r="HU25" i="2"/>
  <c r="HT3" i="2"/>
  <c r="HU3" i="2"/>
  <c r="HQ4" i="2"/>
  <c r="HQ5" i="2"/>
  <c r="HQ6" i="2"/>
  <c r="HQ8" i="2"/>
  <c r="HQ9" i="2"/>
  <c r="HQ10" i="2"/>
  <c r="HQ11" i="2"/>
  <c r="HQ12" i="2"/>
  <c r="HQ13" i="2"/>
  <c r="HQ14" i="2"/>
  <c r="HQ15" i="2"/>
  <c r="HQ16" i="2"/>
  <c r="HQ17" i="2"/>
  <c r="HQ18" i="2"/>
  <c r="HQ19" i="2"/>
  <c r="HQ20" i="2"/>
  <c r="HQ21" i="2"/>
  <c r="HQ22" i="2"/>
  <c r="HQ23" i="2"/>
  <c r="HQ24" i="2"/>
  <c r="HQ25" i="2"/>
  <c r="HP4" i="2"/>
  <c r="HP5" i="2"/>
  <c r="HP8" i="2"/>
  <c r="HP10" i="2"/>
  <c r="HP11" i="2"/>
  <c r="HP12" i="2"/>
  <c r="HP13" i="2"/>
  <c r="HP14" i="2"/>
  <c r="HP15" i="2"/>
  <c r="HP16" i="2"/>
  <c r="HP17" i="2"/>
  <c r="HP18" i="2"/>
  <c r="HP20" i="2"/>
  <c r="HP21" i="2"/>
  <c r="HP23" i="2"/>
  <c r="HP24" i="2"/>
  <c r="HP25" i="2"/>
  <c r="HO4" i="2"/>
  <c r="HO5" i="2"/>
  <c r="HO6" i="2"/>
  <c r="HO8" i="2"/>
  <c r="HO9" i="2"/>
  <c r="HO10" i="2"/>
  <c r="HO11" i="2"/>
  <c r="HO12" i="2"/>
  <c r="HO13" i="2"/>
  <c r="HO14" i="2"/>
  <c r="HO15" i="2"/>
  <c r="HO16" i="2"/>
  <c r="HO17" i="2"/>
  <c r="HO18" i="2"/>
  <c r="HO19" i="2"/>
  <c r="HO20" i="2"/>
  <c r="HO21" i="2"/>
  <c r="HO23" i="2"/>
  <c r="HO24" i="2"/>
  <c r="HO25" i="2"/>
  <c r="HN4" i="2"/>
  <c r="HN5" i="2"/>
  <c r="HN6" i="2"/>
  <c r="HN8" i="2"/>
  <c r="HN9" i="2"/>
  <c r="HN10" i="2"/>
  <c r="HN11" i="2"/>
  <c r="HN12" i="2"/>
  <c r="HN13" i="2"/>
  <c r="HN14" i="2"/>
  <c r="HN15" i="2"/>
  <c r="HN16" i="2"/>
  <c r="HN17" i="2"/>
  <c r="HN18" i="2"/>
  <c r="HN19" i="2"/>
  <c r="HN20" i="2"/>
  <c r="HN21" i="2"/>
  <c r="HN22" i="2"/>
  <c r="HN23" i="2"/>
  <c r="HN24" i="2"/>
  <c r="HN25" i="2"/>
  <c r="HM4" i="2"/>
  <c r="HM5" i="2"/>
  <c r="HM6" i="2"/>
  <c r="HM7" i="2"/>
  <c r="HM8" i="2"/>
  <c r="HM9" i="2"/>
  <c r="HM10" i="2"/>
  <c r="HM11" i="2"/>
  <c r="HM12" i="2"/>
  <c r="HM13" i="2"/>
  <c r="HM14" i="2"/>
  <c r="HM15" i="2"/>
  <c r="HM16" i="2"/>
  <c r="HM17" i="2"/>
  <c r="HM18" i="2"/>
  <c r="HM19" i="2"/>
  <c r="HM20" i="2"/>
  <c r="HM21" i="2"/>
  <c r="HM22" i="2"/>
  <c r="HM23" i="2"/>
  <c r="HM24" i="2"/>
  <c r="HM25" i="2"/>
  <c r="HL4" i="2"/>
  <c r="HL5" i="2"/>
  <c r="HL8" i="2"/>
  <c r="HL10" i="2"/>
  <c r="HL11" i="2"/>
  <c r="HL12" i="2"/>
  <c r="HL13" i="2"/>
  <c r="HL14" i="2"/>
  <c r="HL15" i="2"/>
  <c r="HL16" i="2"/>
  <c r="HL17" i="2"/>
  <c r="HL18" i="2"/>
  <c r="HL20" i="2"/>
  <c r="HL21" i="2"/>
  <c r="HL23" i="2"/>
  <c r="HL24" i="2"/>
  <c r="HL25" i="2"/>
  <c r="HK4" i="2"/>
  <c r="HK5" i="2"/>
  <c r="HK6" i="2"/>
  <c r="HK7" i="2"/>
  <c r="HK8" i="2"/>
  <c r="HK9" i="2"/>
  <c r="HK10" i="2"/>
  <c r="HK11" i="2"/>
  <c r="HK12" i="2"/>
  <c r="HK13" i="2"/>
  <c r="HK14" i="2"/>
  <c r="HK15" i="2"/>
  <c r="HK16" i="2"/>
  <c r="HK17" i="2"/>
  <c r="HK18" i="2"/>
  <c r="HK19" i="2"/>
  <c r="HK20" i="2"/>
  <c r="HK21" i="2"/>
  <c r="HK22" i="2"/>
  <c r="HK23" i="2"/>
  <c r="HK24" i="2"/>
  <c r="HK25" i="2"/>
  <c r="HJ4" i="2"/>
  <c r="HJ5" i="2"/>
  <c r="HJ6" i="2"/>
  <c r="HJ7" i="2"/>
  <c r="HJ8" i="2"/>
  <c r="HJ9" i="2"/>
  <c r="HJ10" i="2"/>
  <c r="HJ11" i="2"/>
  <c r="HJ12" i="2"/>
  <c r="HJ13" i="2"/>
  <c r="HJ14" i="2"/>
  <c r="HJ15" i="2"/>
  <c r="HJ16" i="2"/>
  <c r="HJ17" i="2"/>
  <c r="HJ18" i="2"/>
  <c r="HJ19" i="2"/>
  <c r="HJ20" i="2"/>
  <c r="HJ21" i="2"/>
  <c r="HJ22" i="2"/>
  <c r="HJ23" i="2"/>
  <c r="HJ24" i="2"/>
  <c r="HJ25" i="2"/>
  <c r="HJ3" i="2"/>
  <c r="HK3" i="2"/>
  <c r="HM3" i="2"/>
  <c r="HN3" i="2"/>
  <c r="HQ3" i="2"/>
  <c r="HR3" i="2"/>
  <c r="HI4" i="2"/>
  <c r="HI5" i="2"/>
  <c r="HI6" i="2"/>
  <c r="HI7" i="2"/>
  <c r="HI8" i="2"/>
  <c r="HI9" i="2"/>
  <c r="HI10" i="2"/>
  <c r="HI11" i="2"/>
  <c r="HI12" i="2"/>
  <c r="HI13" i="2"/>
  <c r="HI14" i="2"/>
  <c r="HI15" i="2"/>
  <c r="HI16" i="2"/>
  <c r="HI17" i="2"/>
  <c r="HI18" i="2"/>
  <c r="HI19" i="2"/>
  <c r="HI20" i="2"/>
  <c r="HI21" i="2"/>
  <c r="HI22" i="2"/>
  <c r="HI23" i="2"/>
  <c r="HI24" i="2"/>
  <c r="HI25" i="2"/>
  <c r="HI3" i="2"/>
  <c r="HH4" i="2"/>
  <c r="HH5" i="2"/>
  <c r="HH6" i="2"/>
  <c r="HH7" i="2"/>
  <c r="HH8" i="2"/>
  <c r="HH9" i="2"/>
  <c r="HH10" i="2"/>
  <c r="HH11" i="2"/>
  <c r="HH12" i="2"/>
  <c r="HH13" i="2"/>
  <c r="HH14" i="2"/>
  <c r="HH15" i="2"/>
  <c r="HH16" i="2"/>
  <c r="HH17" i="2"/>
  <c r="HH18" i="2"/>
  <c r="HH19" i="2"/>
  <c r="HH20" i="2"/>
  <c r="HH21" i="2"/>
  <c r="HH22" i="2"/>
  <c r="HH23" i="2"/>
  <c r="HH24" i="2"/>
  <c r="HH25" i="2"/>
  <c r="HH3" i="2"/>
  <c r="HG4" i="2"/>
  <c r="HG5" i="2"/>
  <c r="HG6" i="2"/>
  <c r="HG7" i="2"/>
  <c r="HG8" i="2"/>
  <c r="HG9" i="2"/>
  <c r="HG10" i="2"/>
  <c r="HG11" i="2"/>
  <c r="HG12" i="2"/>
  <c r="HG13" i="2"/>
  <c r="HG14" i="2"/>
  <c r="HG15" i="2"/>
  <c r="HG16" i="2"/>
  <c r="HG17" i="2"/>
  <c r="HG18" i="2"/>
  <c r="HG19" i="2"/>
  <c r="HG20" i="2"/>
  <c r="HG21" i="2"/>
  <c r="HG22" i="2"/>
  <c r="HG23" i="2"/>
  <c r="HG24" i="2"/>
  <c r="HG25" i="2"/>
  <c r="HG3" i="2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3" i="4"/>
  <c r="CM3" i="2" l="1"/>
  <c r="G16" i="4" l="1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4" i="4"/>
  <c r="F4" i="4"/>
  <c r="G3" i="4"/>
  <c r="F3" i="4"/>
  <c r="HC25" i="2"/>
  <c r="HB25" i="2"/>
  <c r="HA25" i="2"/>
  <c r="GZ25" i="2"/>
  <c r="GY25" i="2"/>
  <c r="GX25" i="2"/>
  <c r="GW25" i="2"/>
  <c r="GV25" i="2"/>
  <c r="GU25" i="2"/>
  <c r="GT25" i="2"/>
  <c r="GS25" i="2"/>
  <c r="GR25" i="2"/>
  <c r="GQ25" i="2"/>
  <c r="GP25" i="2"/>
  <c r="GO25" i="2"/>
  <c r="GN25" i="2"/>
  <c r="GM25" i="2"/>
  <c r="FT25" i="2"/>
  <c r="FR25" i="2"/>
  <c r="FQ25" i="2"/>
  <c r="FP25" i="2"/>
  <c r="FO25" i="2"/>
  <c r="FN25" i="2"/>
  <c r="FM25" i="2"/>
  <c r="FL25" i="2"/>
  <c r="FK25" i="2"/>
  <c r="FJ25" i="2"/>
  <c r="FH25" i="2"/>
  <c r="FB25" i="2"/>
  <c r="FA25" i="2"/>
  <c r="EZ25" i="2"/>
  <c r="EY25" i="2"/>
  <c r="EX25" i="2"/>
  <c r="EW25" i="2"/>
  <c r="EV25" i="2"/>
  <c r="EU25" i="2"/>
  <c r="ET25" i="2"/>
  <c r="ES25" i="2"/>
  <c r="ER25" i="2"/>
  <c r="EQ25" i="2"/>
  <c r="EP25" i="2"/>
  <c r="EO25" i="2"/>
  <c r="EN25" i="2"/>
  <c r="EM25" i="2"/>
  <c r="EL25" i="2"/>
  <c r="EK25" i="2"/>
  <c r="EJ25" i="2"/>
  <c r="EI25" i="2"/>
  <c r="EH25" i="2"/>
  <c r="EG25" i="2"/>
  <c r="EF25" i="2"/>
  <c r="EE25" i="2"/>
  <c r="ED25" i="2"/>
  <c r="EC25" i="2"/>
  <c r="EB25" i="2"/>
  <c r="EA25" i="2"/>
  <c r="DZ25" i="2"/>
  <c r="DY25" i="2"/>
  <c r="DX25" i="2"/>
  <c r="DW25" i="2"/>
  <c r="DT25" i="2"/>
  <c r="DS25" i="2"/>
  <c r="DR25" i="2"/>
  <c r="DQ25" i="2"/>
  <c r="DP25" i="2"/>
  <c r="DO25" i="2"/>
  <c r="DN25" i="2"/>
  <c r="DM25" i="2"/>
  <c r="DL25" i="2"/>
  <c r="DK25" i="2"/>
  <c r="DJ25" i="2"/>
  <c r="DI25" i="2"/>
  <c r="DH25" i="2"/>
  <c r="DG25" i="2"/>
  <c r="DF25" i="2"/>
  <c r="DE25" i="2"/>
  <c r="DD25" i="2"/>
  <c r="DC25" i="2"/>
  <c r="DB25" i="2"/>
  <c r="DA25" i="2"/>
  <c r="CZ25" i="2"/>
  <c r="CY25" i="2"/>
  <c r="CX25" i="2"/>
  <c r="CW25" i="2"/>
  <c r="CV25" i="2"/>
  <c r="CU25" i="2"/>
  <c r="CT25" i="2"/>
  <c r="CS25" i="2"/>
  <c r="CR25" i="2"/>
  <c r="CQ25" i="2"/>
  <c r="CO25" i="2"/>
  <c r="CN25" i="2"/>
  <c r="CM25" i="2"/>
  <c r="CL25" i="2"/>
  <c r="D25" i="2"/>
  <c r="HC24" i="2"/>
  <c r="HB24" i="2"/>
  <c r="HA24" i="2"/>
  <c r="GZ24" i="2"/>
  <c r="GY24" i="2"/>
  <c r="GX24" i="2"/>
  <c r="GW24" i="2"/>
  <c r="GV24" i="2"/>
  <c r="GU24" i="2"/>
  <c r="GT24" i="2"/>
  <c r="GS24" i="2"/>
  <c r="GR24" i="2"/>
  <c r="GQ24" i="2"/>
  <c r="GP24" i="2"/>
  <c r="GO24" i="2"/>
  <c r="GN24" i="2"/>
  <c r="GM24" i="2"/>
  <c r="FT24" i="2"/>
  <c r="FR24" i="2"/>
  <c r="FQ24" i="2"/>
  <c r="FP24" i="2"/>
  <c r="FO24" i="2"/>
  <c r="FN24" i="2"/>
  <c r="FM24" i="2"/>
  <c r="FL24" i="2"/>
  <c r="FK24" i="2"/>
  <c r="FJ24" i="2"/>
  <c r="FI24" i="2"/>
  <c r="FH24" i="2"/>
  <c r="FG24" i="2"/>
  <c r="FB24" i="2"/>
  <c r="FA24" i="2"/>
  <c r="EZ24" i="2"/>
  <c r="EY24" i="2"/>
  <c r="EX24" i="2"/>
  <c r="EW24" i="2"/>
  <c r="EV24" i="2"/>
  <c r="EU24" i="2"/>
  <c r="ET24" i="2"/>
  <c r="ES24" i="2"/>
  <c r="ER24" i="2"/>
  <c r="EQ24" i="2"/>
  <c r="EP24" i="2"/>
  <c r="EO24" i="2"/>
  <c r="EN24" i="2"/>
  <c r="EM24" i="2"/>
  <c r="EL24" i="2"/>
  <c r="EK24" i="2"/>
  <c r="EJ24" i="2"/>
  <c r="EI24" i="2"/>
  <c r="EH24" i="2"/>
  <c r="EG24" i="2"/>
  <c r="EF24" i="2"/>
  <c r="EE24" i="2"/>
  <c r="ED24" i="2"/>
  <c r="EC24" i="2"/>
  <c r="EB24" i="2"/>
  <c r="EA24" i="2"/>
  <c r="DZ24" i="2"/>
  <c r="DY24" i="2"/>
  <c r="DX24" i="2"/>
  <c r="DW24" i="2"/>
  <c r="DT24" i="2"/>
  <c r="DS24" i="2"/>
  <c r="DR24" i="2"/>
  <c r="DQ24" i="2"/>
  <c r="DP24" i="2"/>
  <c r="DO24" i="2"/>
  <c r="DN24" i="2"/>
  <c r="DM24" i="2"/>
  <c r="DL24" i="2"/>
  <c r="DK24" i="2"/>
  <c r="DJ24" i="2"/>
  <c r="DI24" i="2"/>
  <c r="DH24" i="2"/>
  <c r="DG24" i="2"/>
  <c r="DF24" i="2"/>
  <c r="DE24" i="2"/>
  <c r="DD24" i="2"/>
  <c r="DC24" i="2"/>
  <c r="DB24" i="2"/>
  <c r="DA24" i="2"/>
  <c r="CZ24" i="2"/>
  <c r="CY24" i="2"/>
  <c r="CX24" i="2"/>
  <c r="CW24" i="2"/>
  <c r="CV24" i="2"/>
  <c r="CU24" i="2"/>
  <c r="CT24" i="2"/>
  <c r="CS24" i="2"/>
  <c r="CR24" i="2"/>
  <c r="CQ24" i="2"/>
  <c r="CP24" i="2"/>
  <c r="CO24" i="2"/>
  <c r="CN24" i="2"/>
  <c r="CM24" i="2"/>
  <c r="CL24" i="2"/>
  <c r="D24" i="2"/>
  <c r="HC23" i="2"/>
  <c r="HB23" i="2"/>
  <c r="HA23" i="2"/>
  <c r="GZ23" i="2"/>
  <c r="GY23" i="2"/>
  <c r="GX23" i="2"/>
  <c r="GW23" i="2"/>
  <c r="GV23" i="2"/>
  <c r="GU23" i="2"/>
  <c r="GT23" i="2"/>
  <c r="GS23" i="2"/>
  <c r="GR23" i="2"/>
  <c r="GQ23" i="2"/>
  <c r="GP23" i="2"/>
  <c r="GO23" i="2"/>
  <c r="GN23" i="2"/>
  <c r="GM23" i="2"/>
  <c r="FT23" i="2"/>
  <c r="FR23" i="2"/>
  <c r="FQ23" i="2"/>
  <c r="FP23" i="2"/>
  <c r="FO23" i="2"/>
  <c r="FN23" i="2"/>
  <c r="FM23" i="2"/>
  <c r="FL23" i="2"/>
  <c r="FK23" i="2"/>
  <c r="FJ23" i="2"/>
  <c r="FI23" i="2"/>
  <c r="FH23" i="2"/>
  <c r="FG23" i="2"/>
  <c r="FF23" i="2"/>
  <c r="FE23" i="2"/>
  <c r="FB23" i="2"/>
  <c r="FA23" i="2"/>
  <c r="EZ23" i="2"/>
  <c r="EY23" i="2"/>
  <c r="EX23" i="2"/>
  <c r="EW23" i="2"/>
  <c r="EV23" i="2"/>
  <c r="EU23" i="2"/>
  <c r="ET23" i="2"/>
  <c r="ES23" i="2"/>
  <c r="ER23" i="2"/>
  <c r="EQ23" i="2"/>
  <c r="EP23" i="2"/>
  <c r="EO23" i="2"/>
  <c r="EN23" i="2"/>
  <c r="EM23" i="2"/>
  <c r="EL23" i="2"/>
  <c r="EK23" i="2"/>
  <c r="EJ23" i="2"/>
  <c r="EI23" i="2"/>
  <c r="EH23" i="2"/>
  <c r="EG23" i="2"/>
  <c r="EF23" i="2"/>
  <c r="EE23" i="2"/>
  <c r="ED23" i="2"/>
  <c r="EC23" i="2"/>
  <c r="EB23" i="2"/>
  <c r="EA23" i="2"/>
  <c r="DZ23" i="2"/>
  <c r="DY23" i="2"/>
  <c r="DX23" i="2"/>
  <c r="DW23" i="2"/>
  <c r="DV23" i="2"/>
  <c r="DU23" i="2"/>
  <c r="DT23" i="2"/>
  <c r="DS23" i="2"/>
  <c r="DR23" i="2"/>
  <c r="DQ23" i="2"/>
  <c r="DP23" i="2"/>
  <c r="DO23" i="2"/>
  <c r="DN23" i="2"/>
  <c r="DM23" i="2"/>
  <c r="DL23" i="2"/>
  <c r="DK23" i="2"/>
  <c r="DJ23" i="2"/>
  <c r="DI23" i="2"/>
  <c r="DH23" i="2"/>
  <c r="DG23" i="2"/>
  <c r="DF23" i="2"/>
  <c r="DE23" i="2"/>
  <c r="DD23" i="2"/>
  <c r="DC23" i="2"/>
  <c r="DB23" i="2"/>
  <c r="DA23" i="2"/>
  <c r="CZ23" i="2"/>
  <c r="CY23" i="2"/>
  <c r="CX23" i="2"/>
  <c r="CW23" i="2"/>
  <c r="CV23" i="2"/>
  <c r="CU23" i="2"/>
  <c r="CT23" i="2"/>
  <c r="CS23" i="2"/>
  <c r="CR23" i="2"/>
  <c r="CQ23" i="2"/>
  <c r="CP23" i="2"/>
  <c r="CO23" i="2"/>
  <c r="CN23" i="2"/>
  <c r="CM23" i="2"/>
  <c r="CL23" i="2"/>
  <c r="D23" i="2"/>
  <c r="HC22" i="2"/>
  <c r="HB22" i="2"/>
  <c r="HA22" i="2"/>
  <c r="GZ22" i="2"/>
  <c r="GY22" i="2"/>
  <c r="GX22" i="2"/>
  <c r="GW22" i="2"/>
  <c r="GV22" i="2"/>
  <c r="GU22" i="2"/>
  <c r="GT22" i="2"/>
  <c r="GS22" i="2"/>
  <c r="GR22" i="2"/>
  <c r="GQ22" i="2"/>
  <c r="GP22" i="2"/>
  <c r="GO22" i="2"/>
  <c r="GN22" i="2"/>
  <c r="GM22" i="2"/>
  <c r="FT22" i="2"/>
  <c r="FR22" i="2"/>
  <c r="FQ22" i="2"/>
  <c r="FP22" i="2"/>
  <c r="FO22" i="2"/>
  <c r="FN22" i="2"/>
  <c r="FM22" i="2"/>
  <c r="FL22" i="2"/>
  <c r="FK22" i="2"/>
  <c r="FJ22" i="2"/>
  <c r="FH22" i="2"/>
  <c r="FG22" i="2"/>
  <c r="FE22" i="2"/>
  <c r="FC22" i="2"/>
  <c r="FB22" i="2"/>
  <c r="FA22" i="2"/>
  <c r="EZ22" i="2"/>
  <c r="EY22" i="2"/>
  <c r="EX22" i="2"/>
  <c r="EW22" i="2"/>
  <c r="EV22" i="2"/>
  <c r="EU22" i="2"/>
  <c r="ET22" i="2"/>
  <c r="ES22" i="2"/>
  <c r="ER22" i="2"/>
  <c r="EQ22" i="2"/>
  <c r="EP22" i="2"/>
  <c r="EN22" i="2"/>
  <c r="EM22" i="2"/>
  <c r="EL22" i="2"/>
  <c r="EK22" i="2"/>
  <c r="EJ22" i="2"/>
  <c r="EI22" i="2"/>
  <c r="EH22" i="2"/>
  <c r="EG22" i="2"/>
  <c r="EF22" i="2"/>
  <c r="EE22" i="2"/>
  <c r="ED22" i="2"/>
  <c r="EC22" i="2"/>
  <c r="EB22" i="2"/>
  <c r="EA22" i="2"/>
  <c r="DZ22" i="2"/>
  <c r="DY22" i="2"/>
  <c r="DX22" i="2"/>
  <c r="DW22" i="2"/>
  <c r="DT22" i="2"/>
  <c r="DS22" i="2"/>
  <c r="DR22" i="2"/>
  <c r="DQ22" i="2"/>
  <c r="DP22" i="2"/>
  <c r="DO22" i="2"/>
  <c r="DN22" i="2"/>
  <c r="DM22" i="2"/>
  <c r="DL22" i="2"/>
  <c r="DK22" i="2"/>
  <c r="DJ22" i="2"/>
  <c r="DI22" i="2"/>
  <c r="DH22" i="2"/>
  <c r="DG22" i="2"/>
  <c r="DF22" i="2"/>
  <c r="DE22" i="2"/>
  <c r="DD22" i="2"/>
  <c r="DC22" i="2"/>
  <c r="DB22" i="2"/>
  <c r="DA22" i="2"/>
  <c r="CZ22" i="2"/>
  <c r="CY22" i="2"/>
  <c r="CX22" i="2"/>
  <c r="CW22" i="2"/>
  <c r="CV22" i="2"/>
  <c r="CU22" i="2"/>
  <c r="CT22" i="2"/>
  <c r="CS22" i="2"/>
  <c r="CR22" i="2"/>
  <c r="CQ22" i="2"/>
  <c r="CN22" i="2"/>
  <c r="CM22" i="2"/>
  <c r="D22" i="2"/>
  <c r="HC21" i="2"/>
  <c r="HB21" i="2"/>
  <c r="HA21" i="2"/>
  <c r="GZ21" i="2"/>
  <c r="GY21" i="2"/>
  <c r="GW21" i="2"/>
  <c r="GV21" i="2"/>
  <c r="GU21" i="2"/>
  <c r="GT21" i="2"/>
  <c r="GS21" i="2"/>
  <c r="GR21" i="2"/>
  <c r="GQ21" i="2"/>
  <c r="GP21" i="2"/>
  <c r="GO21" i="2"/>
  <c r="GN21" i="2"/>
  <c r="GM21" i="2"/>
  <c r="FR21" i="2"/>
  <c r="FQ21" i="2"/>
  <c r="FP21" i="2"/>
  <c r="FO21" i="2"/>
  <c r="FN21" i="2"/>
  <c r="FM21" i="2"/>
  <c r="FL21" i="2"/>
  <c r="FK21" i="2"/>
  <c r="FJ21" i="2"/>
  <c r="FI21" i="2"/>
  <c r="FH21" i="2"/>
  <c r="FG21" i="2"/>
  <c r="FF21" i="2"/>
  <c r="FD21" i="2"/>
  <c r="FB21" i="2"/>
  <c r="FA21" i="2"/>
  <c r="EZ21" i="2"/>
  <c r="EY21" i="2"/>
  <c r="EX21" i="2"/>
  <c r="EW21" i="2"/>
  <c r="EV21" i="2"/>
  <c r="EU21" i="2"/>
  <c r="ET21" i="2"/>
  <c r="ES21" i="2"/>
  <c r="ER21" i="2"/>
  <c r="EQ21" i="2"/>
  <c r="EP21" i="2"/>
  <c r="EO21" i="2"/>
  <c r="EN21" i="2"/>
  <c r="EM21" i="2"/>
  <c r="EL21" i="2"/>
  <c r="EK21" i="2"/>
  <c r="EJ21" i="2"/>
  <c r="EI21" i="2"/>
  <c r="EH21" i="2"/>
  <c r="EG21" i="2"/>
  <c r="EF21" i="2"/>
  <c r="EE21" i="2"/>
  <c r="ED21" i="2"/>
  <c r="EC21" i="2"/>
  <c r="EB21" i="2"/>
  <c r="EA21" i="2"/>
  <c r="DZ21" i="2"/>
  <c r="DY21" i="2"/>
  <c r="DX21" i="2"/>
  <c r="DW21" i="2"/>
  <c r="DV21" i="2"/>
  <c r="DU21" i="2"/>
  <c r="DT21" i="2"/>
  <c r="DS21" i="2"/>
  <c r="DR21" i="2"/>
  <c r="DQ21" i="2"/>
  <c r="DP21" i="2"/>
  <c r="DO21" i="2"/>
  <c r="DN21" i="2"/>
  <c r="DM21" i="2"/>
  <c r="DL21" i="2"/>
  <c r="DK21" i="2"/>
  <c r="DJ21" i="2"/>
  <c r="DI21" i="2"/>
  <c r="DH21" i="2"/>
  <c r="DG21" i="2"/>
  <c r="DF21" i="2"/>
  <c r="DE21" i="2"/>
  <c r="DD21" i="2"/>
  <c r="DC21" i="2"/>
  <c r="DB21" i="2"/>
  <c r="DA21" i="2"/>
  <c r="CZ21" i="2"/>
  <c r="CY21" i="2"/>
  <c r="CX21" i="2"/>
  <c r="CW21" i="2"/>
  <c r="CV21" i="2"/>
  <c r="CU21" i="2"/>
  <c r="CT21" i="2"/>
  <c r="CS21" i="2"/>
  <c r="CR21" i="2"/>
  <c r="CQ21" i="2"/>
  <c r="CP21" i="2"/>
  <c r="CO21" i="2"/>
  <c r="CN21" i="2"/>
  <c r="CM21" i="2"/>
  <c r="CL21" i="2"/>
  <c r="D21" i="2"/>
  <c r="HC20" i="2"/>
  <c r="HB20" i="2"/>
  <c r="HA20" i="2"/>
  <c r="GZ20" i="2"/>
  <c r="GY20" i="2"/>
  <c r="GX20" i="2"/>
  <c r="GW20" i="2"/>
  <c r="GV20" i="2"/>
  <c r="GU20" i="2"/>
  <c r="GT20" i="2"/>
  <c r="GS20" i="2"/>
  <c r="GR20" i="2"/>
  <c r="GQ20" i="2"/>
  <c r="GP20" i="2"/>
  <c r="GO20" i="2"/>
  <c r="GN20" i="2"/>
  <c r="GM20" i="2"/>
  <c r="FT20" i="2"/>
  <c r="FR20" i="2"/>
  <c r="FQ20" i="2"/>
  <c r="FP20" i="2"/>
  <c r="FO20" i="2"/>
  <c r="FN20" i="2"/>
  <c r="FM20" i="2"/>
  <c r="FL20" i="2"/>
  <c r="FK20" i="2"/>
  <c r="FJ20" i="2"/>
  <c r="FI20" i="2"/>
  <c r="FH20" i="2"/>
  <c r="FG20" i="2"/>
  <c r="FE20" i="2"/>
  <c r="FD20" i="2"/>
  <c r="FC20" i="2"/>
  <c r="FB20" i="2"/>
  <c r="FA20" i="2"/>
  <c r="EZ20" i="2"/>
  <c r="EY20" i="2"/>
  <c r="EX20" i="2"/>
  <c r="EW20" i="2"/>
  <c r="EV20" i="2"/>
  <c r="EU20" i="2"/>
  <c r="ET20" i="2"/>
  <c r="ES20" i="2"/>
  <c r="ER20" i="2"/>
  <c r="EQ20" i="2"/>
  <c r="EP20" i="2"/>
  <c r="EO20" i="2"/>
  <c r="EN20" i="2"/>
  <c r="EM20" i="2"/>
  <c r="EL20" i="2"/>
  <c r="EK20" i="2"/>
  <c r="EJ20" i="2"/>
  <c r="EI20" i="2"/>
  <c r="EH20" i="2"/>
  <c r="EG20" i="2"/>
  <c r="EF20" i="2"/>
  <c r="EE20" i="2"/>
  <c r="ED20" i="2"/>
  <c r="EC20" i="2"/>
  <c r="EB20" i="2"/>
  <c r="EA20" i="2"/>
  <c r="DZ20" i="2"/>
  <c r="DY20" i="2"/>
  <c r="DX20" i="2"/>
  <c r="DW20" i="2"/>
  <c r="DT20" i="2"/>
  <c r="DS20" i="2"/>
  <c r="DR20" i="2"/>
  <c r="DQ20" i="2"/>
  <c r="DP20" i="2"/>
  <c r="DO20" i="2"/>
  <c r="DN20" i="2"/>
  <c r="DM20" i="2"/>
  <c r="DL20" i="2"/>
  <c r="DK20" i="2"/>
  <c r="DJ20" i="2"/>
  <c r="DI20" i="2"/>
  <c r="DH20" i="2"/>
  <c r="DG20" i="2"/>
  <c r="DF20" i="2"/>
  <c r="DE20" i="2"/>
  <c r="DD20" i="2"/>
  <c r="DC20" i="2"/>
  <c r="DB20" i="2"/>
  <c r="DA20" i="2"/>
  <c r="CZ20" i="2"/>
  <c r="CY20" i="2"/>
  <c r="CX20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D20" i="2"/>
  <c r="GY19" i="2"/>
  <c r="GX19" i="2"/>
  <c r="GW19" i="2"/>
  <c r="GV19" i="2"/>
  <c r="GU19" i="2"/>
  <c r="GT19" i="2"/>
  <c r="GS19" i="2"/>
  <c r="GR19" i="2"/>
  <c r="GQ19" i="2"/>
  <c r="GP19" i="2"/>
  <c r="GO19" i="2"/>
  <c r="GN19" i="2"/>
  <c r="GM19" i="2"/>
  <c r="FT19" i="2"/>
  <c r="FR19" i="2"/>
  <c r="FQ19" i="2"/>
  <c r="FP19" i="2"/>
  <c r="FO19" i="2"/>
  <c r="FN19" i="2"/>
  <c r="FM19" i="2"/>
  <c r="FL19" i="2"/>
  <c r="FK19" i="2"/>
  <c r="FJ19" i="2"/>
  <c r="FI19" i="2"/>
  <c r="FH19" i="2"/>
  <c r="FG19" i="2"/>
  <c r="FD19" i="2"/>
  <c r="FB19" i="2"/>
  <c r="FA19" i="2"/>
  <c r="EZ19" i="2"/>
  <c r="EY19" i="2"/>
  <c r="EX19" i="2"/>
  <c r="EW19" i="2"/>
  <c r="EV19" i="2"/>
  <c r="EU19" i="2"/>
  <c r="ET19" i="2"/>
  <c r="ES19" i="2"/>
  <c r="ER19" i="2"/>
  <c r="EQ19" i="2"/>
  <c r="EP19" i="2"/>
  <c r="EN19" i="2"/>
  <c r="EM19" i="2"/>
  <c r="EL19" i="2"/>
  <c r="EK19" i="2"/>
  <c r="EJ19" i="2"/>
  <c r="EI19" i="2"/>
  <c r="EH19" i="2"/>
  <c r="EG19" i="2"/>
  <c r="EF19" i="2"/>
  <c r="EE19" i="2"/>
  <c r="ED19" i="2"/>
  <c r="EC19" i="2"/>
  <c r="EB19" i="2"/>
  <c r="EA19" i="2"/>
  <c r="DZ19" i="2"/>
  <c r="DY19" i="2"/>
  <c r="DX19" i="2"/>
  <c r="DW19" i="2"/>
  <c r="DT19" i="2"/>
  <c r="DS19" i="2"/>
  <c r="DR19" i="2"/>
  <c r="DQ19" i="2"/>
  <c r="DP19" i="2"/>
  <c r="DO19" i="2"/>
  <c r="DN19" i="2"/>
  <c r="DM19" i="2"/>
  <c r="DL19" i="2"/>
  <c r="DK19" i="2"/>
  <c r="DJ19" i="2"/>
  <c r="DI19" i="2"/>
  <c r="DH19" i="2"/>
  <c r="DG19" i="2"/>
  <c r="DF19" i="2"/>
  <c r="DE19" i="2"/>
  <c r="DD19" i="2"/>
  <c r="DC19" i="2"/>
  <c r="DB19" i="2"/>
  <c r="DA19" i="2"/>
  <c r="CZ19" i="2"/>
  <c r="CY19" i="2"/>
  <c r="CX19" i="2"/>
  <c r="CW19" i="2"/>
  <c r="CV19" i="2"/>
  <c r="CU19" i="2"/>
  <c r="CT19" i="2"/>
  <c r="CS19" i="2"/>
  <c r="CR19" i="2"/>
  <c r="CQ19" i="2"/>
  <c r="CO19" i="2"/>
  <c r="CN19" i="2"/>
  <c r="CM19" i="2"/>
  <c r="D19" i="2"/>
  <c r="HC18" i="2"/>
  <c r="HB18" i="2"/>
  <c r="HA18" i="2"/>
  <c r="GZ18" i="2"/>
  <c r="GY18" i="2"/>
  <c r="GX18" i="2"/>
  <c r="GW18" i="2"/>
  <c r="GV18" i="2"/>
  <c r="GU18" i="2"/>
  <c r="GT18" i="2"/>
  <c r="GS18" i="2"/>
  <c r="GR18" i="2"/>
  <c r="GQ18" i="2"/>
  <c r="GP18" i="2"/>
  <c r="GO18" i="2"/>
  <c r="GN18" i="2"/>
  <c r="GM18" i="2"/>
  <c r="FT18" i="2"/>
  <c r="FR18" i="2"/>
  <c r="FQ18" i="2"/>
  <c r="FP18" i="2"/>
  <c r="FO18" i="2"/>
  <c r="FN18" i="2"/>
  <c r="FM18" i="2"/>
  <c r="FL18" i="2"/>
  <c r="FK18" i="2"/>
  <c r="FJ18" i="2"/>
  <c r="FI18" i="2"/>
  <c r="FH18" i="2"/>
  <c r="FG18" i="2"/>
  <c r="FF18" i="2"/>
  <c r="FE18" i="2"/>
  <c r="FD18" i="2"/>
  <c r="FB18" i="2"/>
  <c r="FA18" i="2"/>
  <c r="EZ18" i="2"/>
  <c r="EY18" i="2"/>
  <c r="EX18" i="2"/>
  <c r="EW18" i="2"/>
  <c r="EV18" i="2"/>
  <c r="EU18" i="2"/>
  <c r="ET18" i="2"/>
  <c r="ES18" i="2"/>
  <c r="ER18" i="2"/>
  <c r="EQ18" i="2"/>
  <c r="EP18" i="2"/>
  <c r="EO18" i="2"/>
  <c r="EN18" i="2"/>
  <c r="EM18" i="2"/>
  <c r="EL18" i="2"/>
  <c r="EK18" i="2"/>
  <c r="EJ18" i="2"/>
  <c r="EI18" i="2"/>
  <c r="EH18" i="2"/>
  <c r="EG18" i="2"/>
  <c r="EF18" i="2"/>
  <c r="EE18" i="2"/>
  <c r="ED18" i="2"/>
  <c r="EC18" i="2"/>
  <c r="EB18" i="2"/>
  <c r="EA18" i="2"/>
  <c r="DZ18" i="2"/>
  <c r="DY18" i="2"/>
  <c r="DX18" i="2"/>
  <c r="DW18" i="2"/>
  <c r="DV18" i="2"/>
  <c r="DU18" i="2"/>
  <c r="DT18" i="2"/>
  <c r="DS18" i="2"/>
  <c r="DR18" i="2"/>
  <c r="DQ18" i="2"/>
  <c r="DP18" i="2"/>
  <c r="DO18" i="2"/>
  <c r="DN18" i="2"/>
  <c r="DM18" i="2"/>
  <c r="DL18" i="2"/>
  <c r="DK18" i="2"/>
  <c r="DJ18" i="2"/>
  <c r="DI18" i="2"/>
  <c r="DH18" i="2"/>
  <c r="DG18" i="2"/>
  <c r="DF18" i="2"/>
  <c r="DE18" i="2"/>
  <c r="DD18" i="2"/>
  <c r="DC18" i="2"/>
  <c r="DB18" i="2"/>
  <c r="DA18" i="2"/>
  <c r="CZ18" i="2"/>
  <c r="CY18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D18" i="2"/>
  <c r="HC17" i="2"/>
  <c r="HB17" i="2"/>
  <c r="HA17" i="2"/>
  <c r="GZ17" i="2"/>
  <c r="GY17" i="2"/>
  <c r="GX17" i="2"/>
  <c r="GW17" i="2"/>
  <c r="GV17" i="2"/>
  <c r="GU17" i="2"/>
  <c r="GT17" i="2"/>
  <c r="GS17" i="2"/>
  <c r="GR17" i="2"/>
  <c r="GQ17" i="2"/>
  <c r="GP17" i="2"/>
  <c r="GO17" i="2"/>
  <c r="GN17" i="2"/>
  <c r="GM17" i="2"/>
  <c r="FT17" i="2"/>
  <c r="FR17" i="2"/>
  <c r="FQ17" i="2"/>
  <c r="FP17" i="2"/>
  <c r="FO17" i="2"/>
  <c r="FN17" i="2"/>
  <c r="FM17" i="2"/>
  <c r="FL17" i="2"/>
  <c r="FK17" i="2"/>
  <c r="FJ17" i="2"/>
  <c r="FI17" i="2"/>
  <c r="FH17" i="2"/>
  <c r="FG17" i="2"/>
  <c r="FE17" i="2"/>
  <c r="FD17" i="2"/>
  <c r="FC17" i="2"/>
  <c r="FB17" i="2"/>
  <c r="FA17" i="2"/>
  <c r="EZ17" i="2"/>
  <c r="EY17" i="2"/>
  <c r="EX17" i="2"/>
  <c r="EW17" i="2"/>
  <c r="EV17" i="2"/>
  <c r="EU17" i="2"/>
  <c r="ET17" i="2"/>
  <c r="ES17" i="2"/>
  <c r="ER17" i="2"/>
  <c r="EQ17" i="2"/>
  <c r="EP17" i="2"/>
  <c r="EO17" i="2"/>
  <c r="EN17" i="2"/>
  <c r="EM17" i="2"/>
  <c r="EL17" i="2"/>
  <c r="EK17" i="2"/>
  <c r="EJ17" i="2"/>
  <c r="EI17" i="2"/>
  <c r="EH17" i="2"/>
  <c r="EG17" i="2"/>
  <c r="EF17" i="2"/>
  <c r="EE17" i="2"/>
  <c r="ED17" i="2"/>
  <c r="EC17" i="2"/>
  <c r="EB17" i="2"/>
  <c r="EA17" i="2"/>
  <c r="DZ17" i="2"/>
  <c r="DY17" i="2"/>
  <c r="DX17" i="2"/>
  <c r="DW17" i="2"/>
  <c r="DT17" i="2"/>
  <c r="DS17" i="2"/>
  <c r="DR17" i="2"/>
  <c r="DQ17" i="2"/>
  <c r="DP17" i="2"/>
  <c r="DO17" i="2"/>
  <c r="DN17" i="2"/>
  <c r="DM17" i="2"/>
  <c r="DL17" i="2"/>
  <c r="DK17" i="2"/>
  <c r="DJ17" i="2"/>
  <c r="DI17" i="2"/>
  <c r="DH17" i="2"/>
  <c r="DG17" i="2"/>
  <c r="DF17" i="2"/>
  <c r="DE17" i="2"/>
  <c r="DD17" i="2"/>
  <c r="DC17" i="2"/>
  <c r="DB17" i="2"/>
  <c r="DA17" i="2"/>
  <c r="CZ17" i="2"/>
  <c r="CY17" i="2"/>
  <c r="CX17" i="2"/>
  <c r="CW17" i="2"/>
  <c r="CV17" i="2"/>
  <c r="CU17" i="2"/>
  <c r="CT17" i="2"/>
  <c r="CS17" i="2"/>
  <c r="CR17" i="2"/>
  <c r="CQ17" i="2"/>
  <c r="CP17" i="2"/>
  <c r="CO17" i="2"/>
  <c r="CN17" i="2"/>
  <c r="CM17" i="2"/>
  <c r="CL17" i="2"/>
  <c r="D17" i="2"/>
  <c r="HC16" i="2"/>
  <c r="HB16" i="2"/>
  <c r="HA16" i="2"/>
  <c r="GZ16" i="2"/>
  <c r="GY16" i="2"/>
  <c r="GX16" i="2"/>
  <c r="GW16" i="2"/>
  <c r="GV16" i="2"/>
  <c r="GU16" i="2"/>
  <c r="GT16" i="2"/>
  <c r="GS16" i="2"/>
  <c r="GR16" i="2"/>
  <c r="GQ16" i="2"/>
  <c r="GP16" i="2"/>
  <c r="GO16" i="2"/>
  <c r="GN16" i="2"/>
  <c r="GM16" i="2"/>
  <c r="FT16" i="2"/>
  <c r="FR16" i="2"/>
  <c r="FQ16" i="2"/>
  <c r="FP16" i="2"/>
  <c r="FO16" i="2"/>
  <c r="FN16" i="2"/>
  <c r="FM16" i="2"/>
  <c r="FL16" i="2"/>
  <c r="FK16" i="2"/>
  <c r="FJ16" i="2"/>
  <c r="FI16" i="2"/>
  <c r="FH16" i="2"/>
  <c r="FG16" i="2"/>
  <c r="FE16" i="2"/>
  <c r="FD16" i="2"/>
  <c r="FB16" i="2"/>
  <c r="FA16" i="2"/>
  <c r="EZ16" i="2"/>
  <c r="EY16" i="2"/>
  <c r="EX16" i="2"/>
  <c r="EW16" i="2"/>
  <c r="EV16" i="2"/>
  <c r="EU16" i="2"/>
  <c r="ET16" i="2"/>
  <c r="ES16" i="2"/>
  <c r="ER16" i="2"/>
  <c r="EQ16" i="2"/>
  <c r="EP16" i="2"/>
  <c r="EO16" i="2"/>
  <c r="EN16" i="2"/>
  <c r="EM16" i="2"/>
  <c r="EL16" i="2"/>
  <c r="EK16" i="2"/>
  <c r="EJ16" i="2"/>
  <c r="EI16" i="2"/>
  <c r="EH16" i="2"/>
  <c r="EG16" i="2"/>
  <c r="EF16" i="2"/>
  <c r="EE16" i="2"/>
  <c r="ED16" i="2"/>
  <c r="EC16" i="2"/>
  <c r="EB16" i="2"/>
  <c r="EA16" i="2"/>
  <c r="DZ16" i="2"/>
  <c r="DY16" i="2"/>
  <c r="DX16" i="2"/>
  <c r="DW16" i="2"/>
  <c r="DT16" i="2"/>
  <c r="DS16" i="2"/>
  <c r="DR16" i="2"/>
  <c r="DQ16" i="2"/>
  <c r="DP16" i="2"/>
  <c r="DO16" i="2"/>
  <c r="DN16" i="2"/>
  <c r="DM16" i="2"/>
  <c r="DL16" i="2"/>
  <c r="DK16" i="2"/>
  <c r="DJ16" i="2"/>
  <c r="DI16" i="2"/>
  <c r="DH16" i="2"/>
  <c r="DG16" i="2"/>
  <c r="DF16" i="2"/>
  <c r="DE16" i="2"/>
  <c r="DD16" i="2"/>
  <c r="DC16" i="2"/>
  <c r="DB16" i="2"/>
  <c r="DA16" i="2"/>
  <c r="CZ16" i="2"/>
  <c r="CY16" i="2"/>
  <c r="CX16" i="2"/>
  <c r="CW16" i="2"/>
  <c r="CV16" i="2"/>
  <c r="CU16" i="2"/>
  <c r="CT16" i="2"/>
  <c r="CS16" i="2"/>
  <c r="CR16" i="2"/>
  <c r="CQ16" i="2"/>
  <c r="CP16" i="2"/>
  <c r="CO16" i="2"/>
  <c r="CN16" i="2"/>
  <c r="CM16" i="2"/>
  <c r="CL16" i="2"/>
  <c r="D16" i="2"/>
  <c r="HC15" i="2"/>
  <c r="HB15" i="2"/>
  <c r="HA15" i="2"/>
  <c r="FR15" i="2"/>
  <c r="FQ15" i="2"/>
  <c r="FP15" i="2"/>
  <c r="FO15" i="2"/>
  <c r="FN15" i="2"/>
  <c r="FM15" i="2"/>
  <c r="FL15" i="2"/>
  <c r="FK15" i="2"/>
  <c r="FJ15" i="2"/>
  <c r="FI15" i="2"/>
  <c r="FH15" i="2"/>
  <c r="FG15" i="2"/>
  <c r="FF15" i="2"/>
  <c r="FD15" i="2"/>
  <c r="FC15" i="2"/>
  <c r="FB15" i="2"/>
  <c r="FA15" i="2"/>
  <c r="EZ15" i="2"/>
  <c r="EY15" i="2"/>
  <c r="EX15" i="2"/>
  <c r="EW15" i="2"/>
  <c r="EV15" i="2"/>
  <c r="EU15" i="2"/>
  <c r="ET15" i="2"/>
  <c r="ES15" i="2"/>
  <c r="ER15" i="2"/>
  <c r="EQ15" i="2"/>
  <c r="EP15" i="2"/>
  <c r="EO15" i="2"/>
  <c r="EN15" i="2"/>
  <c r="EM15" i="2"/>
  <c r="EL15" i="2"/>
  <c r="EK15" i="2"/>
  <c r="EJ15" i="2"/>
  <c r="EI15" i="2"/>
  <c r="EH15" i="2"/>
  <c r="EG15" i="2"/>
  <c r="EF15" i="2"/>
  <c r="EE15" i="2"/>
  <c r="ED15" i="2"/>
  <c r="EC15" i="2"/>
  <c r="EB15" i="2"/>
  <c r="EA15" i="2"/>
  <c r="DZ15" i="2"/>
  <c r="DY15" i="2"/>
  <c r="DX15" i="2"/>
  <c r="DW15" i="2"/>
  <c r="DV15" i="2"/>
  <c r="DU15" i="2"/>
  <c r="DT15" i="2"/>
  <c r="DS15" i="2"/>
  <c r="DR15" i="2"/>
  <c r="DQ15" i="2"/>
  <c r="DP15" i="2"/>
  <c r="DO15" i="2"/>
  <c r="DN15" i="2"/>
  <c r="DM15" i="2"/>
  <c r="DL15" i="2"/>
  <c r="DK15" i="2"/>
  <c r="DJ15" i="2"/>
  <c r="DI15" i="2"/>
  <c r="DH15" i="2"/>
  <c r="DG15" i="2"/>
  <c r="DF15" i="2"/>
  <c r="DE15" i="2"/>
  <c r="DD15" i="2"/>
  <c r="DC15" i="2"/>
  <c r="DB15" i="2"/>
  <c r="DA15" i="2"/>
  <c r="CZ15" i="2"/>
  <c r="CY15" i="2"/>
  <c r="CX15" i="2"/>
  <c r="CW15" i="2"/>
  <c r="CV15" i="2"/>
  <c r="CU15" i="2"/>
  <c r="CT15" i="2"/>
  <c r="CS15" i="2"/>
  <c r="CR15" i="2"/>
  <c r="CQ15" i="2"/>
  <c r="CP15" i="2"/>
  <c r="CO15" i="2"/>
  <c r="CN15" i="2"/>
  <c r="CM15" i="2"/>
  <c r="CL15" i="2"/>
  <c r="D15" i="2"/>
  <c r="HC14" i="2"/>
  <c r="HB14" i="2"/>
  <c r="HA14" i="2"/>
  <c r="GZ14" i="2"/>
  <c r="GY14" i="2"/>
  <c r="GX14" i="2"/>
  <c r="GW14" i="2"/>
  <c r="GV14" i="2"/>
  <c r="GU14" i="2"/>
  <c r="GT14" i="2"/>
  <c r="GS14" i="2"/>
  <c r="GR14" i="2"/>
  <c r="GQ14" i="2"/>
  <c r="GP14" i="2"/>
  <c r="GO14" i="2"/>
  <c r="GN14" i="2"/>
  <c r="GM14" i="2"/>
  <c r="FT14" i="2"/>
  <c r="FR14" i="2"/>
  <c r="FQ14" i="2"/>
  <c r="FP14" i="2"/>
  <c r="FO14" i="2"/>
  <c r="FN14" i="2"/>
  <c r="FM14" i="2"/>
  <c r="FL14" i="2"/>
  <c r="FK14" i="2"/>
  <c r="FJ14" i="2"/>
  <c r="FI14" i="2"/>
  <c r="FH14" i="2"/>
  <c r="FG14" i="2"/>
  <c r="FF14" i="2"/>
  <c r="FE14" i="2"/>
  <c r="FD14" i="2"/>
  <c r="FC14" i="2"/>
  <c r="FB14" i="2"/>
  <c r="FA14" i="2"/>
  <c r="EZ14" i="2"/>
  <c r="EY14" i="2"/>
  <c r="EX14" i="2"/>
  <c r="EW14" i="2"/>
  <c r="EV14" i="2"/>
  <c r="EU14" i="2"/>
  <c r="ET14" i="2"/>
  <c r="ES14" i="2"/>
  <c r="ER14" i="2"/>
  <c r="EQ14" i="2"/>
  <c r="EP14" i="2"/>
  <c r="EO14" i="2"/>
  <c r="EN14" i="2"/>
  <c r="EM14" i="2"/>
  <c r="EL14" i="2"/>
  <c r="EK14" i="2"/>
  <c r="EJ14" i="2"/>
  <c r="EI14" i="2"/>
  <c r="EH14" i="2"/>
  <c r="EG14" i="2"/>
  <c r="EF14" i="2"/>
  <c r="EE14" i="2"/>
  <c r="ED14" i="2"/>
  <c r="EC14" i="2"/>
  <c r="EB14" i="2"/>
  <c r="EA14" i="2"/>
  <c r="DZ14" i="2"/>
  <c r="DY14" i="2"/>
  <c r="DX14" i="2"/>
  <c r="DW14" i="2"/>
  <c r="DV14" i="2"/>
  <c r="DU14" i="2"/>
  <c r="DT14" i="2"/>
  <c r="DS14" i="2"/>
  <c r="DR14" i="2"/>
  <c r="DQ14" i="2"/>
  <c r="DP14" i="2"/>
  <c r="DO14" i="2"/>
  <c r="DN14" i="2"/>
  <c r="DM14" i="2"/>
  <c r="DL14" i="2"/>
  <c r="DK14" i="2"/>
  <c r="DJ14" i="2"/>
  <c r="DI14" i="2"/>
  <c r="DH14" i="2"/>
  <c r="DG14" i="2"/>
  <c r="DF14" i="2"/>
  <c r="DE14" i="2"/>
  <c r="DD14" i="2"/>
  <c r="DC14" i="2"/>
  <c r="DB14" i="2"/>
  <c r="DA14" i="2"/>
  <c r="CZ14" i="2"/>
  <c r="CY14" i="2"/>
  <c r="CX14" i="2"/>
  <c r="CW14" i="2"/>
  <c r="CV14" i="2"/>
  <c r="CU14" i="2"/>
  <c r="CT14" i="2"/>
  <c r="CS14" i="2"/>
  <c r="CR14" i="2"/>
  <c r="CQ14" i="2"/>
  <c r="CP14" i="2"/>
  <c r="CO14" i="2"/>
  <c r="CN14" i="2"/>
  <c r="CM14" i="2"/>
  <c r="CL14" i="2"/>
  <c r="D14" i="2"/>
  <c r="GY13" i="2"/>
  <c r="GX13" i="2"/>
  <c r="GW13" i="2"/>
  <c r="GV13" i="2"/>
  <c r="GU13" i="2"/>
  <c r="GT13" i="2"/>
  <c r="GS13" i="2"/>
  <c r="GR13" i="2"/>
  <c r="GQ13" i="2"/>
  <c r="GP13" i="2"/>
  <c r="GO13" i="2"/>
  <c r="GN13" i="2"/>
  <c r="GM13" i="2"/>
  <c r="FT13" i="2"/>
  <c r="FR13" i="2"/>
  <c r="FQ13" i="2"/>
  <c r="FP13" i="2"/>
  <c r="FO13" i="2"/>
  <c r="FN13" i="2"/>
  <c r="FM13" i="2"/>
  <c r="FL13" i="2"/>
  <c r="FJ13" i="2"/>
  <c r="FG13" i="2"/>
  <c r="FF13" i="2"/>
  <c r="FE13" i="2"/>
  <c r="FD13" i="2"/>
  <c r="FC13" i="2"/>
  <c r="FB13" i="2"/>
  <c r="FA13" i="2"/>
  <c r="EZ13" i="2"/>
  <c r="EY13" i="2"/>
  <c r="EX13" i="2"/>
  <c r="EW13" i="2"/>
  <c r="EV13" i="2"/>
  <c r="EU13" i="2"/>
  <c r="ET13" i="2"/>
  <c r="ES13" i="2"/>
  <c r="ER13" i="2"/>
  <c r="EQ13" i="2"/>
  <c r="EP13" i="2"/>
  <c r="EO13" i="2"/>
  <c r="EN13" i="2"/>
  <c r="EM13" i="2"/>
  <c r="EL13" i="2"/>
  <c r="EK13" i="2"/>
  <c r="EJ13" i="2"/>
  <c r="EI13" i="2"/>
  <c r="EH13" i="2"/>
  <c r="EG13" i="2"/>
  <c r="EF13" i="2"/>
  <c r="EE13" i="2"/>
  <c r="ED13" i="2"/>
  <c r="EC13" i="2"/>
  <c r="EB13" i="2"/>
  <c r="EA13" i="2"/>
  <c r="DZ13" i="2"/>
  <c r="DY13" i="2"/>
  <c r="DX13" i="2"/>
  <c r="DW13" i="2"/>
  <c r="DT13" i="2"/>
  <c r="DS13" i="2"/>
  <c r="DR13" i="2"/>
  <c r="DQ13" i="2"/>
  <c r="DP13" i="2"/>
  <c r="DO13" i="2"/>
  <c r="DN13" i="2"/>
  <c r="DM13" i="2"/>
  <c r="DL13" i="2"/>
  <c r="DK13" i="2"/>
  <c r="DJ13" i="2"/>
  <c r="DI13" i="2"/>
  <c r="DH13" i="2"/>
  <c r="DG13" i="2"/>
  <c r="DF13" i="2"/>
  <c r="DE13" i="2"/>
  <c r="DD13" i="2"/>
  <c r="DC13" i="2"/>
  <c r="DB13" i="2"/>
  <c r="DA13" i="2"/>
  <c r="CZ13" i="2"/>
  <c r="CY13" i="2"/>
  <c r="CX13" i="2"/>
  <c r="CV13" i="2"/>
  <c r="CU13" i="2"/>
  <c r="CT13" i="2"/>
  <c r="CS13" i="2"/>
  <c r="CR13" i="2"/>
  <c r="CQ13" i="2"/>
  <c r="CP13" i="2"/>
  <c r="CO13" i="2"/>
  <c r="CN13" i="2"/>
  <c r="CM13" i="2"/>
  <c r="CL13" i="2"/>
  <c r="D13" i="2"/>
  <c r="HC12" i="2"/>
  <c r="HB12" i="2"/>
  <c r="HA12" i="2"/>
  <c r="GZ12" i="2"/>
  <c r="GY12" i="2"/>
  <c r="GX12" i="2"/>
  <c r="GW12" i="2"/>
  <c r="GV12" i="2"/>
  <c r="GU12" i="2"/>
  <c r="GT12" i="2"/>
  <c r="GS12" i="2"/>
  <c r="GR12" i="2"/>
  <c r="GQ12" i="2"/>
  <c r="GP12" i="2"/>
  <c r="GO12" i="2"/>
  <c r="GN12" i="2"/>
  <c r="GM12" i="2"/>
  <c r="FT12" i="2"/>
  <c r="FR12" i="2"/>
  <c r="FQ12" i="2"/>
  <c r="FP12" i="2"/>
  <c r="FO12" i="2"/>
  <c r="FN12" i="2"/>
  <c r="FM12" i="2"/>
  <c r="FL12" i="2"/>
  <c r="FK12" i="2"/>
  <c r="FJ12" i="2"/>
  <c r="FI12" i="2"/>
  <c r="FH12" i="2"/>
  <c r="FG12" i="2"/>
  <c r="FF12" i="2"/>
  <c r="FE12" i="2"/>
  <c r="FC12" i="2"/>
  <c r="FB12" i="2"/>
  <c r="FA12" i="2"/>
  <c r="EZ12" i="2"/>
  <c r="EY12" i="2"/>
  <c r="EX12" i="2"/>
  <c r="EW12" i="2"/>
  <c r="EV12" i="2"/>
  <c r="EU12" i="2"/>
  <c r="ET12" i="2"/>
  <c r="ES12" i="2"/>
  <c r="ER12" i="2"/>
  <c r="EQ12" i="2"/>
  <c r="EP12" i="2"/>
  <c r="EO12" i="2"/>
  <c r="EN12" i="2"/>
  <c r="EM12" i="2"/>
  <c r="EL12" i="2"/>
  <c r="EK12" i="2"/>
  <c r="EJ12" i="2"/>
  <c r="EI12" i="2"/>
  <c r="EH12" i="2"/>
  <c r="EG12" i="2"/>
  <c r="EF12" i="2"/>
  <c r="EE12" i="2"/>
  <c r="ED12" i="2"/>
  <c r="EC12" i="2"/>
  <c r="EB12" i="2"/>
  <c r="EA12" i="2"/>
  <c r="DZ12" i="2"/>
  <c r="DY12" i="2"/>
  <c r="DX12" i="2"/>
  <c r="DW12" i="2"/>
  <c r="DT12" i="2"/>
  <c r="DS12" i="2"/>
  <c r="DR12" i="2"/>
  <c r="DQ12" i="2"/>
  <c r="DP12" i="2"/>
  <c r="DO12" i="2"/>
  <c r="DN12" i="2"/>
  <c r="DM12" i="2"/>
  <c r="DL12" i="2"/>
  <c r="DK12" i="2"/>
  <c r="DJ12" i="2"/>
  <c r="DI12" i="2"/>
  <c r="DH12" i="2"/>
  <c r="DG12" i="2"/>
  <c r="DF12" i="2"/>
  <c r="DE12" i="2"/>
  <c r="DD12" i="2"/>
  <c r="DC12" i="2"/>
  <c r="DB12" i="2"/>
  <c r="DA12" i="2"/>
  <c r="CZ12" i="2"/>
  <c r="CY12" i="2"/>
  <c r="CX12" i="2"/>
  <c r="CW12" i="2"/>
  <c r="CV12" i="2"/>
  <c r="CU12" i="2"/>
  <c r="CT12" i="2"/>
  <c r="CS12" i="2"/>
  <c r="CR12" i="2"/>
  <c r="CQ12" i="2"/>
  <c r="CP12" i="2"/>
  <c r="CO12" i="2"/>
  <c r="CN12" i="2"/>
  <c r="CM12" i="2"/>
  <c r="CL12" i="2"/>
  <c r="D12" i="2"/>
  <c r="HC11" i="2"/>
  <c r="HB11" i="2"/>
  <c r="HA11" i="2"/>
  <c r="GZ11" i="2"/>
  <c r="GY11" i="2"/>
  <c r="GX11" i="2"/>
  <c r="GW11" i="2"/>
  <c r="GV11" i="2"/>
  <c r="GU11" i="2"/>
  <c r="GT11" i="2"/>
  <c r="GS11" i="2"/>
  <c r="GR11" i="2"/>
  <c r="GQ11" i="2"/>
  <c r="GP11" i="2"/>
  <c r="GO11" i="2"/>
  <c r="GN11" i="2"/>
  <c r="GM11" i="2"/>
  <c r="FT11" i="2"/>
  <c r="FR11" i="2"/>
  <c r="FQ11" i="2"/>
  <c r="FP11" i="2"/>
  <c r="FO11" i="2"/>
  <c r="FN11" i="2"/>
  <c r="FM11" i="2"/>
  <c r="FL11" i="2"/>
  <c r="FK11" i="2"/>
  <c r="FJ11" i="2"/>
  <c r="FI11" i="2"/>
  <c r="FH11" i="2"/>
  <c r="FG11" i="2"/>
  <c r="FF11" i="2"/>
  <c r="FE11" i="2"/>
  <c r="FD11" i="2"/>
  <c r="FC11" i="2"/>
  <c r="FB11" i="2"/>
  <c r="FA11" i="2"/>
  <c r="EZ11" i="2"/>
  <c r="EY11" i="2"/>
  <c r="EX11" i="2"/>
  <c r="EW11" i="2"/>
  <c r="EV11" i="2"/>
  <c r="EU11" i="2"/>
  <c r="ET11" i="2"/>
  <c r="ES11" i="2"/>
  <c r="ER11" i="2"/>
  <c r="EQ11" i="2"/>
  <c r="EP11" i="2"/>
  <c r="EO11" i="2"/>
  <c r="EN11" i="2"/>
  <c r="EM11" i="2"/>
  <c r="EL11" i="2"/>
  <c r="EK11" i="2"/>
  <c r="EJ11" i="2"/>
  <c r="EI11" i="2"/>
  <c r="EH11" i="2"/>
  <c r="EG11" i="2"/>
  <c r="EF11" i="2"/>
  <c r="EE11" i="2"/>
  <c r="ED11" i="2"/>
  <c r="EC11" i="2"/>
  <c r="EB11" i="2"/>
  <c r="EA11" i="2"/>
  <c r="DZ11" i="2"/>
  <c r="DY11" i="2"/>
  <c r="DX11" i="2"/>
  <c r="DW11" i="2"/>
  <c r="DT11" i="2"/>
  <c r="DS11" i="2"/>
  <c r="DR11" i="2"/>
  <c r="DQ11" i="2"/>
  <c r="DP11" i="2"/>
  <c r="DO11" i="2"/>
  <c r="DN11" i="2"/>
  <c r="DM11" i="2"/>
  <c r="DL11" i="2"/>
  <c r="DK11" i="2"/>
  <c r="DJ11" i="2"/>
  <c r="DI11" i="2"/>
  <c r="DH11" i="2"/>
  <c r="DG11" i="2"/>
  <c r="DF11" i="2"/>
  <c r="DE11" i="2"/>
  <c r="DD11" i="2"/>
  <c r="DC11" i="2"/>
  <c r="DB11" i="2"/>
  <c r="DA11" i="2"/>
  <c r="CZ11" i="2"/>
  <c r="CY11" i="2"/>
  <c r="CX11" i="2"/>
  <c r="CW11" i="2"/>
  <c r="CV11" i="2"/>
  <c r="CU11" i="2"/>
  <c r="CT11" i="2"/>
  <c r="CS11" i="2"/>
  <c r="CR11" i="2"/>
  <c r="CQ11" i="2"/>
  <c r="CP11" i="2"/>
  <c r="CO11" i="2"/>
  <c r="CN11" i="2"/>
  <c r="CM11" i="2"/>
  <c r="CL11" i="2"/>
  <c r="D11" i="2"/>
  <c r="HC10" i="2"/>
  <c r="HB10" i="2"/>
  <c r="GW10" i="2"/>
  <c r="GV10" i="2"/>
  <c r="GU10" i="2"/>
  <c r="GT10" i="2"/>
  <c r="GS10" i="2"/>
  <c r="GR10" i="2"/>
  <c r="GQ10" i="2"/>
  <c r="GP10" i="2"/>
  <c r="GO10" i="2"/>
  <c r="GN10" i="2"/>
  <c r="GM10" i="2"/>
  <c r="FR10" i="2"/>
  <c r="FQ10" i="2"/>
  <c r="FP10" i="2"/>
  <c r="FO10" i="2"/>
  <c r="FN10" i="2"/>
  <c r="FM10" i="2"/>
  <c r="FL10" i="2"/>
  <c r="FK10" i="2"/>
  <c r="FJ10" i="2"/>
  <c r="FI10" i="2"/>
  <c r="FH10" i="2"/>
  <c r="FG10" i="2"/>
  <c r="FF10" i="2"/>
  <c r="FE10" i="2"/>
  <c r="FD10" i="2"/>
  <c r="FC10" i="2"/>
  <c r="FB10" i="2"/>
  <c r="FA10" i="2"/>
  <c r="EZ10" i="2"/>
  <c r="EY10" i="2"/>
  <c r="EX10" i="2"/>
  <c r="EW10" i="2"/>
  <c r="EV10" i="2"/>
  <c r="EU10" i="2"/>
  <c r="ET10" i="2"/>
  <c r="ES10" i="2"/>
  <c r="ER10" i="2"/>
  <c r="EQ10" i="2"/>
  <c r="EP10" i="2"/>
  <c r="EO10" i="2"/>
  <c r="EN10" i="2"/>
  <c r="EM10" i="2"/>
  <c r="EL10" i="2"/>
  <c r="EK10" i="2"/>
  <c r="EJ10" i="2"/>
  <c r="EI10" i="2"/>
  <c r="EH10" i="2"/>
  <c r="EG10" i="2"/>
  <c r="EF10" i="2"/>
  <c r="EE10" i="2"/>
  <c r="ED10" i="2"/>
  <c r="EC10" i="2"/>
  <c r="EB10" i="2"/>
  <c r="EA10" i="2"/>
  <c r="DZ10" i="2"/>
  <c r="DY10" i="2"/>
  <c r="DX10" i="2"/>
  <c r="DW10" i="2"/>
  <c r="DV10" i="2"/>
  <c r="DU10" i="2"/>
  <c r="DT10" i="2"/>
  <c r="DS10" i="2"/>
  <c r="DR10" i="2"/>
  <c r="DQ10" i="2"/>
  <c r="DP10" i="2"/>
  <c r="DO10" i="2"/>
  <c r="DN10" i="2"/>
  <c r="DM10" i="2"/>
  <c r="DL10" i="2"/>
  <c r="DK10" i="2"/>
  <c r="DJ10" i="2"/>
  <c r="DI10" i="2"/>
  <c r="DH10" i="2"/>
  <c r="DG10" i="2"/>
  <c r="DF10" i="2"/>
  <c r="DE10" i="2"/>
  <c r="DD10" i="2"/>
  <c r="DC10" i="2"/>
  <c r="DB10" i="2"/>
  <c r="DA10" i="2"/>
  <c r="CZ10" i="2"/>
  <c r="CY10" i="2"/>
  <c r="CX10" i="2"/>
  <c r="CW10" i="2"/>
  <c r="CV10" i="2"/>
  <c r="CU10" i="2"/>
  <c r="CT10" i="2"/>
  <c r="CS10" i="2"/>
  <c r="CR10" i="2"/>
  <c r="CQ10" i="2"/>
  <c r="CP10" i="2"/>
  <c r="CO10" i="2"/>
  <c r="CN10" i="2"/>
  <c r="CM10" i="2"/>
  <c r="CL10" i="2"/>
  <c r="D10" i="2"/>
  <c r="GY9" i="2"/>
  <c r="GX9" i="2"/>
  <c r="GW9" i="2"/>
  <c r="GV9" i="2"/>
  <c r="GU9" i="2"/>
  <c r="GT9" i="2"/>
  <c r="GS9" i="2"/>
  <c r="GR9" i="2"/>
  <c r="GQ9" i="2"/>
  <c r="GP9" i="2"/>
  <c r="GO9" i="2"/>
  <c r="GN9" i="2"/>
  <c r="GM9" i="2"/>
  <c r="FT9" i="2"/>
  <c r="FR9" i="2"/>
  <c r="FQ9" i="2"/>
  <c r="FP9" i="2"/>
  <c r="FO9" i="2"/>
  <c r="FN9" i="2"/>
  <c r="FM9" i="2"/>
  <c r="FL9" i="2"/>
  <c r="FK9" i="2"/>
  <c r="FJ9" i="2"/>
  <c r="FI9" i="2"/>
  <c r="FH9" i="2"/>
  <c r="FG9" i="2"/>
  <c r="FE9" i="2"/>
  <c r="FD9" i="2"/>
  <c r="FC9" i="2"/>
  <c r="FB9" i="2"/>
  <c r="FA9" i="2"/>
  <c r="EZ9" i="2"/>
  <c r="EY9" i="2"/>
  <c r="EX9" i="2"/>
  <c r="EW9" i="2"/>
  <c r="EV9" i="2"/>
  <c r="EU9" i="2"/>
  <c r="ET9" i="2"/>
  <c r="ES9" i="2"/>
  <c r="ER9" i="2"/>
  <c r="EQ9" i="2"/>
  <c r="EP9" i="2"/>
  <c r="EN9" i="2"/>
  <c r="EM9" i="2"/>
  <c r="EL9" i="2"/>
  <c r="EK9" i="2"/>
  <c r="EJ9" i="2"/>
  <c r="EI9" i="2"/>
  <c r="EH9" i="2"/>
  <c r="EG9" i="2"/>
  <c r="EF9" i="2"/>
  <c r="EE9" i="2"/>
  <c r="ED9" i="2"/>
  <c r="EC9" i="2"/>
  <c r="EB9" i="2"/>
  <c r="EA9" i="2"/>
  <c r="DZ9" i="2"/>
  <c r="DY9" i="2"/>
  <c r="DX9" i="2"/>
  <c r="DW9" i="2"/>
  <c r="DT9" i="2"/>
  <c r="DS9" i="2"/>
  <c r="DR9" i="2"/>
  <c r="DQ9" i="2"/>
  <c r="DP9" i="2"/>
  <c r="DO9" i="2"/>
  <c r="DN9" i="2"/>
  <c r="DM9" i="2"/>
  <c r="DL9" i="2"/>
  <c r="DK9" i="2"/>
  <c r="DJ9" i="2"/>
  <c r="DI9" i="2"/>
  <c r="DH9" i="2"/>
  <c r="DG9" i="2"/>
  <c r="DF9" i="2"/>
  <c r="DE9" i="2"/>
  <c r="DD9" i="2"/>
  <c r="DC9" i="2"/>
  <c r="DB9" i="2"/>
  <c r="DA9" i="2"/>
  <c r="CZ9" i="2"/>
  <c r="CY9" i="2"/>
  <c r="CX9" i="2"/>
  <c r="CW9" i="2"/>
  <c r="CV9" i="2"/>
  <c r="CU9" i="2"/>
  <c r="CT9" i="2"/>
  <c r="CS9" i="2"/>
  <c r="CR9" i="2"/>
  <c r="CQ9" i="2"/>
  <c r="CO9" i="2"/>
  <c r="CN9" i="2"/>
  <c r="CM9" i="2"/>
  <c r="D9" i="2"/>
  <c r="HC8" i="2"/>
  <c r="HB8" i="2"/>
  <c r="HA8" i="2"/>
  <c r="GZ8" i="2"/>
  <c r="GY8" i="2"/>
  <c r="GX8" i="2"/>
  <c r="GW8" i="2"/>
  <c r="GV8" i="2"/>
  <c r="GU8" i="2"/>
  <c r="GT8" i="2"/>
  <c r="GS8" i="2"/>
  <c r="GR8" i="2"/>
  <c r="GQ8" i="2"/>
  <c r="GP8" i="2"/>
  <c r="GO8" i="2"/>
  <c r="GN8" i="2"/>
  <c r="GM8" i="2"/>
  <c r="FT8" i="2"/>
  <c r="FR8" i="2"/>
  <c r="FQ8" i="2"/>
  <c r="FP8" i="2"/>
  <c r="FO8" i="2"/>
  <c r="FN8" i="2"/>
  <c r="FM8" i="2"/>
  <c r="FL8" i="2"/>
  <c r="FK8" i="2"/>
  <c r="FJ8" i="2"/>
  <c r="FI8" i="2"/>
  <c r="FH8" i="2"/>
  <c r="FG8" i="2"/>
  <c r="FF8" i="2"/>
  <c r="FE8" i="2"/>
  <c r="FB8" i="2"/>
  <c r="FA8" i="2"/>
  <c r="EZ8" i="2"/>
  <c r="EY8" i="2"/>
  <c r="EX8" i="2"/>
  <c r="EW8" i="2"/>
  <c r="EV8" i="2"/>
  <c r="EU8" i="2"/>
  <c r="ET8" i="2"/>
  <c r="ES8" i="2"/>
  <c r="ER8" i="2"/>
  <c r="EQ8" i="2"/>
  <c r="EP8" i="2"/>
  <c r="EO8" i="2"/>
  <c r="EN8" i="2"/>
  <c r="EM8" i="2"/>
  <c r="EL8" i="2"/>
  <c r="EJ8" i="2"/>
  <c r="EI8" i="2"/>
  <c r="EH8" i="2"/>
  <c r="EG8" i="2"/>
  <c r="EF8" i="2"/>
  <c r="EE8" i="2"/>
  <c r="ED8" i="2"/>
  <c r="EC8" i="2"/>
  <c r="EB8" i="2"/>
  <c r="EA8" i="2"/>
  <c r="DZ8" i="2"/>
  <c r="DY8" i="2"/>
  <c r="DX8" i="2"/>
  <c r="DW8" i="2"/>
  <c r="DV8" i="2"/>
  <c r="DU8" i="2"/>
  <c r="DT8" i="2"/>
  <c r="DS8" i="2"/>
  <c r="DR8" i="2"/>
  <c r="DQ8" i="2"/>
  <c r="DP8" i="2"/>
  <c r="DO8" i="2"/>
  <c r="DN8" i="2"/>
  <c r="DM8" i="2"/>
  <c r="DL8" i="2"/>
  <c r="DK8" i="2"/>
  <c r="DJ8" i="2"/>
  <c r="DI8" i="2"/>
  <c r="DH8" i="2"/>
  <c r="DG8" i="2"/>
  <c r="DF8" i="2"/>
  <c r="DE8" i="2"/>
  <c r="DD8" i="2"/>
  <c r="DC8" i="2"/>
  <c r="DB8" i="2"/>
  <c r="DA8" i="2"/>
  <c r="CZ8" i="2"/>
  <c r="CY8" i="2"/>
  <c r="CX8" i="2"/>
  <c r="CW8" i="2"/>
  <c r="CV8" i="2"/>
  <c r="CU8" i="2"/>
  <c r="CT8" i="2"/>
  <c r="CS8" i="2"/>
  <c r="CR8" i="2"/>
  <c r="CQ8" i="2"/>
  <c r="CP8" i="2"/>
  <c r="CO8" i="2"/>
  <c r="CN8" i="2"/>
  <c r="CM8" i="2"/>
  <c r="CL8" i="2"/>
  <c r="D8" i="2"/>
  <c r="GY7" i="2"/>
  <c r="GX7" i="2"/>
  <c r="GW7" i="2"/>
  <c r="GV7" i="2"/>
  <c r="GU7" i="2"/>
  <c r="GT7" i="2"/>
  <c r="GS7" i="2"/>
  <c r="GR7" i="2"/>
  <c r="GQ7" i="2"/>
  <c r="GP7" i="2"/>
  <c r="GO7" i="2"/>
  <c r="GN7" i="2"/>
  <c r="GM7" i="2"/>
  <c r="FT7" i="2"/>
  <c r="FR7" i="2"/>
  <c r="FQ7" i="2"/>
  <c r="FP7" i="2"/>
  <c r="FO7" i="2"/>
  <c r="FN7" i="2"/>
  <c r="FM7" i="2"/>
  <c r="FL7" i="2"/>
  <c r="FK7" i="2"/>
  <c r="FJ7" i="2"/>
  <c r="FI7" i="2"/>
  <c r="FH7" i="2"/>
  <c r="FG7" i="2"/>
  <c r="FE7" i="2"/>
  <c r="FD7" i="2"/>
  <c r="FC7" i="2"/>
  <c r="FB7" i="2"/>
  <c r="FA7" i="2"/>
  <c r="EZ7" i="2"/>
  <c r="EY7" i="2"/>
  <c r="EX7" i="2"/>
  <c r="EW7" i="2"/>
  <c r="EV7" i="2"/>
  <c r="EU7" i="2"/>
  <c r="ET7" i="2"/>
  <c r="ES7" i="2"/>
  <c r="ER7" i="2"/>
  <c r="EQ7" i="2"/>
  <c r="EP7" i="2"/>
  <c r="EN7" i="2"/>
  <c r="EM7" i="2"/>
  <c r="EL7" i="2"/>
  <c r="EK7" i="2"/>
  <c r="EJ7" i="2"/>
  <c r="EI7" i="2"/>
  <c r="EH7" i="2"/>
  <c r="EG7" i="2"/>
  <c r="EF7" i="2"/>
  <c r="EE7" i="2"/>
  <c r="ED7" i="2"/>
  <c r="EC7" i="2"/>
  <c r="EB7" i="2"/>
  <c r="EA7" i="2"/>
  <c r="DZ7" i="2"/>
  <c r="DY7" i="2"/>
  <c r="DX7" i="2"/>
  <c r="DW7" i="2"/>
  <c r="DT7" i="2"/>
  <c r="DS7" i="2"/>
  <c r="DR7" i="2"/>
  <c r="DQ7" i="2"/>
  <c r="DP7" i="2"/>
  <c r="DO7" i="2"/>
  <c r="DN7" i="2"/>
  <c r="DM7" i="2"/>
  <c r="DL7" i="2"/>
  <c r="DK7" i="2"/>
  <c r="DJ7" i="2"/>
  <c r="DI7" i="2"/>
  <c r="DH7" i="2"/>
  <c r="DG7" i="2"/>
  <c r="DF7" i="2"/>
  <c r="DE7" i="2"/>
  <c r="DD7" i="2"/>
  <c r="DC7" i="2"/>
  <c r="DB7" i="2"/>
  <c r="DA7" i="2"/>
  <c r="CZ7" i="2"/>
  <c r="CV7" i="2"/>
  <c r="CT7" i="2"/>
  <c r="CS7" i="2"/>
  <c r="CR7" i="2"/>
  <c r="CM7" i="2"/>
  <c r="D7" i="2"/>
  <c r="GY6" i="2"/>
  <c r="GX6" i="2"/>
  <c r="GW6" i="2"/>
  <c r="GV6" i="2"/>
  <c r="GU6" i="2"/>
  <c r="GT6" i="2"/>
  <c r="GS6" i="2"/>
  <c r="GR6" i="2"/>
  <c r="GQ6" i="2"/>
  <c r="GP6" i="2"/>
  <c r="GO6" i="2"/>
  <c r="GN6" i="2"/>
  <c r="GM6" i="2"/>
  <c r="FT6" i="2"/>
  <c r="FR6" i="2"/>
  <c r="FQ6" i="2"/>
  <c r="FP6" i="2"/>
  <c r="FO6" i="2"/>
  <c r="FN6" i="2"/>
  <c r="FM6" i="2"/>
  <c r="FL6" i="2"/>
  <c r="FK6" i="2"/>
  <c r="FJ6" i="2"/>
  <c r="FI6" i="2"/>
  <c r="FH6" i="2"/>
  <c r="FG6" i="2"/>
  <c r="FF6" i="2"/>
  <c r="FB6" i="2"/>
  <c r="FA6" i="2"/>
  <c r="EZ6" i="2"/>
  <c r="EY6" i="2"/>
  <c r="EX6" i="2"/>
  <c r="EW6" i="2"/>
  <c r="EV6" i="2"/>
  <c r="EU6" i="2"/>
  <c r="ET6" i="2"/>
  <c r="ES6" i="2"/>
  <c r="ER6" i="2"/>
  <c r="EQ6" i="2"/>
  <c r="EP6" i="2"/>
  <c r="EO6" i="2"/>
  <c r="EN6" i="2"/>
  <c r="EM6" i="2"/>
  <c r="EL6" i="2"/>
  <c r="EK6" i="2"/>
  <c r="EJ6" i="2"/>
  <c r="EI6" i="2"/>
  <c r="EH6" i="2"/>
  <c r="EG6" i="2"/>
  <c r="EF6" i="2"/>
  <c r="EE6" i="2"/>
  <c r="ED6" i="2"/>
  <c r="EC6" i="2"/>
  <c r="EB6" i="2"/>
  <c r="EA6" i="2"/>
  <c r="DZ6" i="2"/>
  <c r="DY6" i="2"/>
  <c r="DX6" i="2"/>
  <c r="DW6" i="2"/>
  <c r="DT6" i="2"/>
  <c r="DS6" i="2"/>
  <c r="DR6" i="2"/>
  <c r="DQ6" i="2"/>
  <c r="DP6" i="2"/>
  <c r="DO6" i="2"/>
  <c r="DN6" i="2"/>
  <c r="DM6" i="2"/>
  <c r="DL6" i="2"/>
  <c r="DK6" i="2"/>
  <c r="DJ6" i="2"/>
  <c r="DI6" i="2"/>
  <c r="DH6" i="2"/>
  <c r="DG6" i="2"/>
  <c r="DF6" i="2"/>
  <c r="DE6" i="2"/>
  <c r="DD6" i="2"/>
  <c r="DC6" i="2"/>
  <c r="DB6" i="2"/>
  <c r="DA6" i="2"/>
  <c r="CZ6" i="2"/>
  <c r="CY6" i="2"/>
  <c r="CX6" i="2"/>
  <c r="CW6" i="2"/>
  <c r="CV6" i="2"/>
  <c r="CU6" i="2"/>
  <c r="CT6" i="2"/>
  <c r="CS6" i="2"/>
  <c r="CR6" i="2"/>
  <c r="CQ6" i="2"/>
  <c r="CO6" i="2"/>
  <c r="CN6" i="2"/>
  <c r="CM6" i="2"/>
  <c r="D6" i="2"/>
  <c r="HC5" i="2"/>
  <c r="HB5" i="2"/>
  <c r="HA5" i="2"/>
  <c r="GZ5" i="2"/>
  <c r="GY5" i="2"/>
  <c r="GX5" i="2"/>
  <c r="GW5" i="2"/>
  <c r="GV5" i="2"/>
  <c r="GU5" i="2"/>
  <c r="GT5" i="2"/>
  <c r="GS5" i="2"/>
  <c r="GR5" i="2"/>
  <c r="GQ5" i="2"/>
  <c r="GP5" i="2"/>
  <c r="GO5" i="2"/>
  <c r="GN5" i="2"/>
  <c r="GM5" i="2"/>
  <c r="FT5" i="2"/>
  <c r="FR5" i="2"/>
  <c r="FQ5" i="2"/>
  <c r="FP5" i="2"/>
  <c r="FO5" i="2"/>
  <c r="FN5" i="2"/>
  <c r="FM5" i="2"/>
  <c r="FL5" i="2"/>
  <c r="FK5" i="2"/>
  <c r="FJ5" i="2"/>
  <c r="FI5" i="2"/>
  <c r="FH5" i="2"/>
  <c r="FG5" i="2"/>
  <c r="FF5" i="2"/>
  <c r="FE5" i="2"/>
  <c r="FD5" i="2"/>
  <c r="FC5" i="2"/>
  <c r="FB5" i="2"/>
  <c r="FA5" i="2"/>
  <c r="EZ5" i="2"/>
  <c r="EY5" i="2"/>
  <c r="EX5" i="2"/>
  <c r="EW5" i="2"/>
  <c r="EV5" i="2"/>
  <c r="EU5" i="2"/>
  <c r="ET5" i="2"/>
  <c r="ES5" i="2"/>
  <c r="ER5" i="2"/>
  <c r="EQ5" i="2"/>
  <c r="EP5" i="2"/>
  <c r="EO5" i="2"/>
  <c r="EN5" i="2"/>
  <c r="EM5" i="2"/>
  <c r="EL5" i="2"/>
  <c r="EK5" i="2"/>
  <c r="EJ5" i="2"/>
  <c r="EI5" i="2"/>
  <c r="EH5" i="2"/>
  <c r="EG5" i="2"/>
  <c r="EF5" i="2"/>
  <c r="EE5" i="2"/>
  <c r="ED5" i="2"/>
  <c r="EC5" i="2"/>
  <c r="EB5" i="2"/>
  <c r="EA5" i="2"/>
  <c r="DZ5" i="2"/>
  <c r="DY5" i="2"/>
  <c r="DX5" i="2"/>
  <c r="DW5" i="2"/>
  <c r="DU5" i="2"/>
  <c r="DT5" i="2"/>
  <c r="DS5" i="2"/>
  <c r="DR5" i="2"/>
  <c r="DQ5" i="2"/>
  <c r="DP5" i="2"/>
  <c r="DO5" i="2"/>
  <c r="DN5" i="2"/>
  <c r="DM5" i="2"/>
  <c r="DL5" i="2"/>
  <c r="DK5" i="2"/>
  <c r="DJ5" i="2"/>
  <c r="DI5" i="2"/>
  <c r="DH5" i="2"/>
  <c r="DG5" i="2"/>
  <c r="DF5" i="2"/>
  <c r="DE5" i="2"/>
  <c r="DD5" i="2"/>
  <c r="DC5" i="2"/>
  <c r="DB5" i="2"/>
  <c r="DA5" i="2"/>
  <c r="CZ5" i="2"/>
  <c r="CY5" i="2"/>
  <c r="CX5" i="2"/>
  <c r="CW5" i="2"/>
  <c r="CV5" i="2"/>
  <c r="CU5" i="2"/>
  <c r="CT5" i="2"/>
  <c r="CS5" i="2"/>
  <c r="CR5" i="2"/>
  <c r="CQ5" i="2"/>
  <c r="CP5" i="2"/>
  <c r="CO5" i="2"/>
  <c r="CN5" i="2"/>
  <c r="CM5" i="2"/>
  <c r="CL5" i="2"/>
  <c r="D5" i="2"/>
  <c r="HC4" i="2"/>
  <c r="HB4" i="2"/>
  <c r="HA4" i="2"/>
  <c r="GZ4" i="2"/>
  <c r="GY4" i="2"/>
  <c r="GX4" i="2"/>
  <c r="GW4" i="2"/>
  <c r="GV4" i="2"/>
  <c r="GU4" i="2"/>
  <c r="GT4" i="2"/>
  <c r="GS4" i="2"/>
  <c r="GR4" i="2"/>
  <c r="GQ4" i="2"/>
  <c r="GP4" i="2"/>
  <c r="GO4" i="2"/>
  <c r="GN4" i="2"/>
  <c r="GM4" i="2"/>
  <c r="FT4" i="2"/>
  <c r="FR4" i="2"/>
  <c r="FQ4" i="2"/>
  <c r="FP4" i="2"/>
  <c r="FO4" i="2"/>
  <c r="FN4" i="2"/>
  <c r="FM4" i="2"/>
  <c r="FL4" i="2"/>
  <c r="FK4" i="2"/>
  <c r="FJ4" i="2"/>
  <c r="FI4" i="2"/>
  <c r="FH4" i="2"/>
  <c r="FG4" i="2"/>
  <c r="FF4" i="2"/>
  <c r="FE4" i="2"/>
  <c r="FD4" i="2"/>
  <c r="FC4" i="2"/>
  <c r="FB4" i="2"/>
  <c r="FA4" i="2"/>
  <c r="EZ4" i="2"/>
  <c r="EY4" i="2"/>
  <c r="EX4" i="2"/>
  <c r="EW4" i="2"/>
  <c r="EV4" i="2"/>
  <c r="EU4" i="2"/>
  <c r="ET4" i="2"/>
  <c r="ES4" i="2"/>
  <c r="ER4" i="2"/>
  <c r="EQ4" i="2"/>
  <c r="EP4" i="2"/>
  <c r="EO4" i="2"/>
  <c r="EN4" i="2"/>
  <c r="EM4" i="2"/>
  <c r="EL4" i="2"/>
  <c r="EK4" i="2"/>
  <c r="EJ4" i="2"/>
  <c r="EI4" i="2"/>
  <c r="EH4" i="2"/>
  <c r="EG4" i="2"/>
  <c r="EF4" i="2"/>
  <c r="EE4" i="2"/>
  <c r="ED4" i="2"/>
  <c r="EC4" i="2"/>
  <c r="EB4" i="2"/>
  <c r="EA4" i="2"/>
  <c r="DZ4" i="2"/>
  <c r="DY4" i="2"/>
  <c r="DX4" i="2"/>
  <c r="DW4" i="2"/>
  <c r="DV4" i="2"/>
  <c r="DU4" i="2"/>
  <c r="DT4" i="2"/>
  <c r="DS4" i="2"/>
  <c r="DR4" i="2"/>
  <c r="DQ4" i="2"/>
  <c r="DP4" i="2"/>
  <c r="DO4" i="2"/>
  <c r="DN4" i="2"/>
  <c r="DM4" i="2"/>
  <c r="DL4" i="2"/>
  <c r="DK4" i="2"/>
  <c r="DJ4" i="2"/>
  <c r="DI4" i="2"/>
  <c r="DH4" i="2"/>
  <c r="DG4" i="2"/>
  <c r="DF4" i="2"/>
  <c r="DE4" i="2"/>
  <c r="DD4" i="2"/>
  <c r="DC4" i="2"/>
  <c r="DB4" i="2"/>
  <c r="DA4" i="2"/>
  <c r="CZ4" i="2"/>
  <c r="CY4" i="2"/>
  <c r="CX4" i="2"/>
  <c r="CW4" i="2"/>
  <c r="CV4" i="2"/>
  <c r="CU4" i="2"/>
  <c r="CT4" i="2"/>
  <c r="CS4" i="2"/>
  <c r="CR4" i="2"/>
  <c r="CQ4" i="2"/>
  <c r="CP4" i="2"/>
  <c r="CO4" i="2"/>
  <c r="CN4" i="2"/>
  <c r="CM4" i="2"/>
  <c r="CL4" i="2"/>
  <c r="D4" i="2"/>
  <c r="FT3" i="2"/>
  <c r="FR3" i="2"/>
  <c r="FQ3" i="2"/>
  <c r="FP3" i="2"/>
  <c r="FO3" i="2"/>
  <c r="FN3" i="2"/>
  <c r="FM3" i="2"/>
  <c r="FL3" i="2"/>
  <c r="FJ3" i="2"/>
  <c r="FH3" i="2"/>
  <c r="FE3" i="2"/>
  <c r="FD3" i="2"/>
  <c r="FC3" i="2"/>
  <c r="EP3" i="2"/>
  <c r="EN3" i="2"/>
  <c r="EM3" i="2"/>
  <c r="EL3" i="2"/>
  <c r="EK3" i="2"/>
  <c r="EJ3" i="2"/>
  <c r="EI3" i="2"/>
  <c r="EH3" i="2"/>
  <c r="EG3" i="2"/>
  <c r="EF3" i="2"/>
  <c r="EE3" i="2"/>
  <c r="ED3" i="2"/>
  <c r="EC3" i="2"/>
  <c r="EB3" i="2"/>
  <c r="EA3" i="2"/>
  <c r="DZ3" i="2"/>
  <c r="DY3" i="2"/>
  <c r="DW3" i="2"/>
  <c r="DT3" i="2"/>
  <c r="DS3" i="2"/>
  <c r="DR3" i="2"/>
  <c r="DQ3" i="2"/>
  <c r="DP3" i="2"/>
  <c r="DO3" i="2"/>
  <c r="DN3" i="2"/>
  <c r="DM3" i="2"/>
  <c r="DL3" i="2"/>
  <c r="DK3" i="2"/>
  <c r="DJ3" i="2"/>
  <c r="DI3" i="2"/>
  <c r="DG3" i="2"/>
  <c r="DF3" i="2"/>
  <c r="DE3" i="2"/>
  <c r="DD3" i="2"/>
  <c r="DC3" i="2"/>
  <c r="DB3" i="2"/>
  <c r="DA3" i="2"/>
  <c r="CZ3" i="2"/>
  <c r="CY3" i="2"/>
  <c r="CX3" i="2"/>
  <c r="CW3" i="2"/>
  <c r="CV3" i="2"/>
  <c r="CU3" i="2"/>
  <c r="CT3" i="2"/>
  <c r="CR3" i="2"/>
  <c r="CQ3" i="2"/>
  <c r="CN3" i="2"/>
  <c r="D3" i="2"/>
</calcChain>
</file>

<file path=xl/sharedStrings.xml><?xml version="1.0" encoding="utf-8"?>
<sst xmlns="http://schemas.openxmlformats.org/spreadsheetml/2006/main" count="776" uniqueCount="282">
  <si>
    <t>Sample</t>
  </si>
  <si>
    <t>Location</t>
  </si>
  <si>
    <t>TiO2</t>
  </si>
  <si>
    <t>K2O</t>
  </si>
  <si>
    <t>P2O5</t>
  </si>
  <si>
    <t>Rb</t>
  </si>
  <si>
    <t>Sr</t>
  </si>
  <si>
    <t>Y</t>
  </si>
  <si>
    <t>Zr</t>
  </si>
  <si>
    <t>Nb</t>
  </si>
  <si>
    <t>Cs</t>
  </si>
  <si>
    <t>Ba</t>
  </si>
  <si>
    <t>La</t>
  </si>
  <si>
    <t>Ce</t>
  </si>
  <si>
    <t>Nd</t>
  </si>
  <si>
    <t>Sm</t>
  </si>
  <si>
    <t>Eu</t>
  </si>
  <si>
    <t>Tb</t>
  </si>
  <si>
    <t>Yb</t>
  </si>
  <si>
    <t>Lu</t>
  </si>
  <si>
    <t>Hf</t>
  </si>
  <si>
    <t>Ta</t>
  </si>
  <si>
    <t>Pb</t>
  </si>
  <si>
    <t>Th</t>
  </si>
  <si>
    <t>U</t>
  </si>
  <si>
    <t>D2004-1c</t>
  </si>
  <si>
    <t xml:space="preserve">Develidag </t>
  </si>
  <si>
    <t>D2004-3c</t>
  </si>
  <si>
    <t>D2004-10p</t>
  </si>
  <si>
    <t>D2004-11p</t>
  </si>
  <si>
    <t>ERC95-64</t>
  </si>
  <si>
    <t xml:space="preserve">Erciyes </t>
  </si>
  <si>
    <t>ERC98-1</t>
  </si>
  <si>
    <t>Erciyes</t>
  </si>
  <si>
    <t>KY-1</t>
  </si>
  <si>
    <t xml:space="preserve">Erkilet </t>
  </si>
  <si>
    <t>KY-2</t>
  </si>
  <si>
    <t>KY-6</t>
  </si>
  <si>
    <t>KY-7</t>
  </si>
  <si>
    <t>KY-13</t>
  </si>
  <si>
    <t>SV-1</t>
  </si>
  <si>
    <t xml:space="preserve">Sivas </t>
  </si>
  <si>
    <t>SV-3</t>
  </si>
  <si>
    <t>SV-6</t>
  </si>
  <si>
    <t>SV-8</t>
  </si>
  <si>
    <t>SV-10</t>
  </si>
  <si>
    <t>SV-13</t>
  </si>
  <si>
    <t>SV-14</t>
  </si>
  <si>
    <t>SV-16</t>
  </si>
  <si>
    <t>OR2005-1</t>
  </si>
  <si>
    <t>OR2005-2</t>
  </si>
  <si>
    <t>TA2005-1</t>
  </si>
  <si>
    <t xml:space="preserve">Tendurek  </t>
  </si>
  <si>
    <t>EA515</t>
  </si>
  <si>
    <t>Thrace</t>
  </si>
  <si>
    <t>EA509</t>
  </si>
  <si>
    <t>EA508</t>
  </si>
  <si>
    <t>EA519</t>
  </si>
  <si>
    <t>EA527</t>
  </si>
  <si>
    <t>C.kale</t>
  </si>
  <si>
    <t>EA523</t>
  </si>
  <si>
    <t>EA270</t>
  </si>
  <si>
    <t>Ayvcik</t>
  </si>
  <si>
    <t>EA531</t>
  </si>
  <si>
    <t>EA249</t>
  </si>
  <si>
    <t>Tastepe</t>
  </si>
  <si>
    <t>EA348</t>
  </si>
  <si>
    <t>Foca</t>
  </si>
  <si>
    <t>EA399</t>
  </si>
  <si>
    <t>EA314</t>
  </si>
  <si>
    <t>Bergama</t>
  </si>
  <si>
    <t>EA101</t>
  </si>
  <si>
    <t>EA418</t>
  </si>
  <si>
    <t>Assos</t>
  </si>
  <si>
    <t>EA37</t>
  </si>
  <si>
    <t>EA147</t>
  </si>
  <si>
    <t>Y.Sakran</t>
  </si>
  <si>
    <t>K93-50</t>
  </si>
  <si>
    <t xml:space="preserve">Kula </t>
  </si>
  <si>
    <t>K93-65</t>
  </si>
  <si>
    <t>K93-68</t>
  </si>
  <si>
    <t>K93-78</t>
  </si>
  <si>
    <t>K93-80</t>
  </si>
  <si>
    <t>K93-82</t>
  </si>
  <si>
    <t>Eth643</t>
  </si>
  <si>
    <t>K</t>
  </si>
  <si>
    <t>P</t>
  </si>
  <si>
    <t>Ti</t>
  </si>
  <si>
    <t>Area</t>
  </si>
  <si>
    <t>OIB</t>
  </si>
  <si>
    <t>OIB values</t>
  </si>
  <si>
    <t>AB2BUK-1</t>
  </si>
  <si>
    <t>AB2DB-2</t>
  </si>
  <si>
    <t>AB3ADB-4</t>
  </si>
  <si>
    <t>AB4BUK-5</t>
  </si>
  <si>
    <t>AB5DB-14</t>
  </si>
  <si>
    <t>AB7W-25</t>
  </si>
  <si>
    <t>AB7I-33</t>
  </si>
  <si>
    <t>RC1BUK-16</t>
  </si>
  <si>
    <t>RC1DB-10</t>
  </si>
  <si>
    <t>RC2DB-21</t>
  </si>
  <si>
    <t>RC3MLC-10</t>
  </si>
  <si>
    <t>FALLCR FPC-1</t>
  </si>
  <si>
    <t>LOGCR BUK-21</t>
  </si>
  <si>
    <t>LOGCR FPC-2</t>
  </si>
  <si>
    <t>1PHGR-01</t>
  </si>
  <si>
    <t>2PHGR-02</t>
  </si>
  <si>
    <t>3PHGR-03</t>
  </si>
  <si>
    <t>5PHGR-09</t>
  </si>
  <si>
    <t>7PHGR-12</t>
  </si>
  <si>
    <t>9PHGR-17</t>
  </si>
  <si>
    <t>11PHGR-20</t>
  </si>
  <si>
    <t>12PHGR-21</t>
  </si>
  <si>
    <t>13PHGR-22</t>
  </si>
  <si>
    <t>16PHGR-26</t>
  </si>
  <si>
    <t>17PHGR-28</t>
  </si>
  <si>
    <t>18PHGR-29</t>
  </si>
  <si>
    <t>19PHGR-31</t>
  </si>
  <si>
    <t>21PHGR-35</t>
  </si>
  <si>
    <t>23PHGR-40</t>
  </si>
  <si>
    <t>24PHGR-44</t>
  </si>
  <si>
    <t>27PHGR-48</t>
  </si>
  <si>
    <t>27/TG9PHGR-49</t>
  </si>
  <si>
    <t>29/TG10PHGR-51</t>
  </si>
  <si>
    <t>32/TG11PHGR-56</t>
  </si>
  <si>
    <t>TG11HST-10</t>
  </si>
  <si>
    <t>33/TG12PHGR-57</t>
  </si>
  <si>
    <t>34/TG13PHGR-58</t>
  </si>
  <si>
    <t>35/TGMRPHGR-59</t>
  </si>
  <si>
    <t>TGMRPRH85-4</t>
  </si>
  <si>
    <t>TGFSPRH85-5</t>
  </si>
  <si>
    <t>TGSCHST-96</t>
  </si>
  <si>
    <t>HST-17</t>
  </si>
  <si>
    <t>ARMSC SCP86-31</t>
  </si>
  <si>
    <t>LWINT W SCP86-5</t>
  </si>
  <si>
    <t>UWINT W SCP86-7</t>
  </si>
  <si>
    <t>SLACKC SCP86-155</t>
  </si>
  <si>
    <t>SLACKC SCP86-156</t>
  </si>
  <si>
    <t>SLACKC SCP86-157</t>
  </si>
  <si>
    <t>SENTB1 SCP86-152</t>
  </si>
  <si>
    <t>SENTB1 SCP86-154</t>
  </si>
  <si>
    <t>ROBMT. EP-2</t>
  </si>
  <si>
    <t>ROBMT. D-5</t>
  </si>
  <si>
    <t>DODGEEP-1</t>
  </si>
  <si>
    <t>SHUMCR HAS-40</t>
  </si>
  <si>
    <t>POWATKARS-1</t>
  </si>
  <si>
    <t>FSPRS-2</t>
  </si>
  <si>
    <t>ROSAK-9040</t>
  </si>
  <si>
    <t>PRRAPIDSHCO-85</t>
  </si>
  <si>
    <t>PRRAPIDSPRH85-8</t>
  </si>
  <si>
    <t>UMATILLAPRH85-1</t>
  </si>
  <si>
    <t>UMATILLAHAS-45</t>
  </si>
  <si>
    <t>WILBURC HSI-51</t>
  </si>
  <si>
    <t>ASOTINHAS-57A</t>
  </si>
  <si>
    <t>WEISS-CPRH85-2</t>
  </si>
  <si>
    <t>WEISS-SHAS-74</t>
  </si>
  <si>
    <t>POMONACLA-42</t>
  </si>
  <si>
    <t>ELEPHMT HAS-32</t>
  </si>
  <si>
    <t>BUFORDPRH85-3</t>
  </si>
  <si>
    <t>LMON HAS-25</t>
  </si>
  <si>
    <t>BASALT</t>
  </si>
  <si>
    <t>Primitive Mantle</t>
  </si>
  <si>
    <t>N-MORB</t>
  </si>
  <si>
    <t>N-MORB (normalised)</t>
  </si>
  <si>
    <t xml:space="preserve"> (kempton)</t>
  </si>
  <si>
    <t>CA4</t>
  </si>
  <si>
    <t>QBB901A</t>
  </si>
  <si>
    <t>Menzies</t>
  </si>
  <si>
    <t>geronimo</t>
  </si>
  <si>
    <t>pk-g-51</t>
  </si>
  <si>
    <t>Klondike</t>
  </si>
  <si>
    <t>cascades</t>
  </si>
  <si>
    <t>notsu</t>
  </si>
  <si>
    <t>KM-84</t>
  </si>
  <si>
    <t>LM92-2443</t>
  </si>
  <si>
    <t>EG-16</t>
  </si>
  <si>
    <t>Thx6</t>
  </si>
  <si>
    <t>Thx7</t>
  </si>
  <si>
    <t>Thx9</t>
  </si>
  <si>
    <t>Thx11</t>
  </si>
  <si>
    <t>Thx12</t>
  </si>
  <si>
    <t>Thx14</t>
  </si>
  <si>
    <t>Thx15</t>
  </si>
  <si>
    <t>Thx25</t>
  </si>
  <si>
    <t>Thx24</t>
  </si>
  <si>
    <t>Thx19</t>
  </si>
  <si>
    <t>Thx36</t>
  </si>
  <si>
    <t xml:space="preserve"> Thrace Aldanmaz 2012)</t>
  </si>
  <si>
    <t xml:space="preserve"> thrace host basalt (polat 1998) </t>
  </si>
  <si>
    <t>Cy3-41</t>
  </si>
  <si>
    <t>CY4-22</t>
  </si>
  <si>
    <t>HB1</t>
  </si>
  <si>
    <t>Esenli</t>
  </si>
  <si>
    <t>Pr</t>
  </si>
  <si>
    <t>Gd</t>
  </si>
  <si>
    <t>Dy</t>
  </si>
  <si>
    <t>Ho</t>
  </si>
  <si>
    <t>Er</t>
  </si>
  <si>
    <t>Boynton</t>
  </si>
  <si>
    <t>norm</t>
  </si>
  <si>
    <t>OIB Sun &amp; Mc Donough</t>
  </si>
  <si>
    <t>T6-7B rgf Duncker 1991</t>
  </si>
  <si>
    <t>Dunker</t>
  </si>
  <si>
    <t>QBW201 Thole menzies 1991</t>
  </si>
  <si>
    <t>menzies</t>
  </si>
  <si>
    <t>Lm91-101</t>
  </si>
  <si>
    <t>Borg1997</t>
  </si>
  <si>
    <t>Lm91-103</t>
  </si>
  <si>
    <t>CR7-125</t>
  </si>
  <si>
    <t>Camp 2003</t>
  </si>
  <si>
    <t>CR7-79</t>
  </si>
  <si>
    <t>Lb91-101</t>
  </si>
  <si>
    <t>Tm</t>
  </si>
  <si>
    <t>C1 Chondrite</t>
  </si>
  <si>
    <t>KX-2</t>
  </si>
  <si>
    <t>KX-4</t>
  </si>
  <si>
    <t>esenli</t>
  </si>
  <si>
    <t>Gibson 1993</t>
  </si>
  <si>
    <t>89Sb100</t>
  </si>
  <si>
    <t>89sb100</t>
  </si>
  <si>
    <t>SM27 Simcoe</t>
  </si>
  <si>
    <t>Bacon  1997</t>
  </si>
  <si>
    <t>SH270 Shasta</t>
  </si>
  <si>
    <t>Bacon 1997</t>
  </si>
  <si>
    <t>SM27Simcoe</t>
  </si>
  <si>
    <t>OIB Sun &amp; Mc Donough (Pri.mantle)</t>
  </si>
  <si>
    <t>KX2</t>
  </si>
  <si>
    <t>KX4</t>
  </si>
  <si>
    <t>EA117</t>
  </si>
  <si>
    <t>EA105</t>
  </si>
  <si>
    <t>Primitive mantle normalised OIB</t>
  </si>
  <si>
    <t xml:space="preserve">  Normalised  OIB ( Boynton)</t>
  </si>
  <si>
    <t>PM normalised  OIB ( Sun and Mc Donough 1991)</t>
  </si>
  <si>
    <t xml:space="preserve">  Ba/Nb    Fitton et al., 1988</t>
  </si>
  <si>
    <t>Zr/Ba     Menzies et al., 1991</t>
  </si>
  <si>
    <t>Nb/La  Haasse  et al., 2000</t>
  </si>
  <si>
    <t>Ce/Pb  Hoffman et al.,1986</t>
  </si>
  <si>
    <t>Nb/Y Pearce and Caan, 1977</t>
  </si>
  <si>
    <t xml:space="preserve">La/Nb  De Paolo et al., 2000 </t>
  </si>
  <si>
    <t>Nb/Th Krienitz et al., 2009</t>
  </si>
  <si>
    <t>NWA 7042</t>
  </si>
  <si>
    <t>NWA 5298</t>
  </si>
  <si>
    <t>NWA 3171</t>
  </si>
  <si>
    <t>LAR 12240,7</t>
  </si>
  <si>
    <t>LAR 12011,12</t>
  </si>
  <si>
    <t>LAR 12095,14</t>
  </si>
  <si>
    <t>NWA 8679</t>
  </si>
  <si>
    <t>Tissint</t>
  </si>
  <si>
    <t>NWA 7397</t>
  </si>
  <si>
    <t>NWA 2986</t>
  </si>
  <si>
    <t>NWA 6342</t>
  </si>
  <si>
    <t>EETA 79001</t>
  </si>
  <si>
    <t>ALHA 77005</t>
  </si>
  <si>
    <t>RBT 04262</t>
  </si>
  <si>
    <t>LAR 06319</t>
  </si>
  <si>
    <t>NWA 10593</t>
  </si>
  <si>
    <t>Dho 019</t>
  </si>
  <si>
    <t>NWA 8656</t>
  </si>
  <si>
    <t>NWA 2975</t>
  </si>
  <si>
    <t>SaU 051</t>
  </si>
  <si>
    <t>NWA 2737</t>
  </si>
  <si>
    <t>Chassigny</t>
  </si>
  <si>
    <t>NWA 7721</t>
  </si>
  <si>
    <t>NWA7257</t>
  </si>
  <si>
    <t>DAG 476</t>
  </si>
  <si>
    <t>NWA 998</t>
  </si>
  <si>
    <t>Lafayette</t>
  </si>
  <si>
    <t>Nakhla</t>
  </si>
  <si>
    <t>Nakhla (II)</t>
  </si>
  <si>
    <t>Nakhla (III)</t>
  </si>
  <si>
    <t>Y 000593</t>
  </si>
  <si>
    <t>Y000749</t>
  </si>
  <si>
    <t>NWA 817</t>
  </si>
  <si>
    <t>MIL 090032</t>
  </si>
  <si>
    <t>MIL 03346</t>
  </si>
  <si>
    <t>MIL 090136 (II)</t>
  </si>
  <si>
    <t>MIL 090136</t>
  </si>
  <si>
    <t>MIL 090030</t>
  </si>
  <si>
    <t>NWA 6148</t>
  </si>
  <si>
    <t>NWA 10153</t>
  </si>
  <si>
    <t>NWA 11013</t>
  </si>
  <si>
    <t>NWA 10645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</si>
</sst>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9" x14ac:knownFonts="1">
    <font>
      <sz val="10"/>
      <name val="Verdana"/>
    </font>
    <font>
      <sz val="11"/>
      <color theme="1"/>
      <name val="Calibri"/>
      <family val="2"/>
      <charset val="162"/>
      <scheme val="minor"/>
    </font>
    <font>
      <sz val="10"/>
      <name val="Verdana"/>
      <family val="2"/>
      <charset val="162"/>
    </font>
    <font>
      <sz val="12"/>
      <name val="Georgia"/>
      <family val="1"/>
      <charset val="162"/>
    </font>
    <font>
      <b/>
      <sz val="10"/>
      <name val="Verdana"/>
      <family val="2"/>
      <charset val="162"/>
    </font>
    <font>
      <sz val="10"/>
      <color indexed="10"/>
      <name val="Times New Roman"/>
      <family val="1"/>
    </font>
    <font>
      <b/>
      <sz val="10"/>
      <name val="Verdana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2"/>
      <name val="Georgia"/>
      <family val="1"/>
    </font>
    <font>
      <sz val="12"/>
      <name val="Georgia"/>
      <family val="1"/>
    </font>
    <font>
      <sz val="12"/>
      <color indexed="8"/>
      <name val="Georgia"/>
      <family val="1"/>
    </font>
    <font>
      <b/>
      <sz val="12"/>
      <color indexed="10"/>
      <name val="Georgia"/>
      <family val="1"/>
    </font>
    <font>
      <sz val="9"/>
      <name val="Arial"/>
      <family val="2"/>
      <charset val="162"/>
    </font>
    <font>
      <b/>
      <sz val="10"/>
      <color theme="9" tint="-0.249977111117893"/>
      <name val="Verdana"/>
      <family val="2"/>
      <charset val="162"/>
    </font>
    <font>
      <b/>
      <sz val="9"/>
      <color theme="9" tint="-0.249977111117893"/>
      <name val="Arial"/>
      <family val="2"/>
      <charset val="162"/>
    </font>
    <font>
      <b/>
      <sz val="18"/>
      <color theme="3"/>
      <name val="Cambria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color indexed="8"/>
      <name val="Calibri"/>
      <family val="2"/>
      <charset val="162"/>
    </font>
    <font>
      <b/>
      <sz val="12"/>
      <color theme="1"/>
      <name val="Calibri"/>
      <family val="2"/>
      <scheme val="minor"/>
    </font>
    <font>
      <b/>
      <sz val="12"/>
      <color rgb="FF0070C0"/>
      <name val="Georgia"/>
      <family val="1"/>
    </font>
    <font>
      <b/>
      <sz val="12"/>
      <color rgb="FFFF0000"/>
      <name val="Georgia"/>
      <family val="1"/>
    </font>
    <font>
      <sz val="12"/>
      <color theme="1"/>
      <name val="Georgia"/>
      <family val="1"/>
      <charset val="162"/>
    </font>
    <font>
      <sz val="8"/>
      <name val="Verdana"/>
    </font>
    <font>
      <sz val="12"/>
      <color rgb="FFFF0000"/>
      <name val="Georgia"/>
      <family val="1"/>
      <charset val="162"/>
    </font>
  </fonts>
  <fills count="4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A7E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auto="1"/>
      </top>
      <bottom/>
      <diagonal/>
    </border>
  </borders>
  <cellStyleXfs count="45">
    <xf numFmtId="0" fontId="0" fillId="0" borderId="0"/>
    <xf numFmtId="0" fontId="2" fillId="0" borderId="0"/>
    <xf numFmtId="0" fontId="7" fillId="0" borderId="0"/>
    <xf numFmtId="0" fontId="16" fillId="0" borderId="0" applyNumberFormat="0" applyFill="0" applyBorder="0" applyAlignment="0" applyProtection="0"/>
    <xf numFmtId="0" fontId="17" fillId="0" borderId="2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0" applyNumberFormat="0" applyBorder="0" applyAlignment="0" applyProtection="0"/>
    <xf numFmtId="0" fontId="21" fillId="8" borderId="0" applyNumberFormat="0" applyBorder="0" applyAlignment="0" applyProtection="0"/>
    <xf numFmtId="0" fontId="22" fillId="9" borderId="0" applyNumberFormat="0" applyBorder="0" applyAlignment="0" applyProtection="0"/>
    <xf numFmtId="0" fontId="23" fillId="10" borderId="5" applyNumberFormat="0" applyAlignment="0" applyProtection="0"/>
    <xf numFmtId="0" fontId="24" fillId="11" borderId="6" applyNumberFormat="0" applyAlignment="0" applyProtection="0"/>
    <xf numFmtId="0" fontId="25" fillId="11" borderId="5" applyNumberFormat="0" applyAlignment="0" applyProtection="0"/>
    <xf numFmtId="0" fontId="26" fillId="0" borderId="7" applyNumberFormat="0" applyFill="0" applyAlignment="0" applyProtection="0"/>
    <xf numFmtId="0" fontId="27" fillId="12" borderId="8" applyNumberFormat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10" applyNumberFormat="0" applyFill="0" applyAlignment="0" applyProtection="0"/>
    <xf numFmtId="0" fontId="3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1" fillId="17" borderId="0" applyNumberFormat="0" applyBorder="0" applyAlignment="0" applyProtection="0"/>
    <xf numFmtId="0" fontId="3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1" fillId="21" borderId="0" applyNumberFormat="0" applyBorder="0" applyAlignment="0" applyProtection="0"/>
    <xf numFmtId="0" fontId="3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1" fillId="25" borderId="0" applyNumberFormat="0" applyBorder="0" applyAlignment="0" applyProtection="0"/>
    <xf numFmtId="0" fontId="3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1" fillId="29" borderId="0" applyNumberFormat="0" applyBorder="0" applyAlignment="0" applyProtection="0"/>
    <xf numFmtId="0" fontId="3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31" fillId="37" borderId="0" applyNumberFormat="0" applyBorder="0" applyAlignment="0" applyProtection="0"/>
    <xf numFmtId="0" fontId="32" fillId="0" borderId="0"/>
    <xf numFmtId="0" fontId="1" fillId="13" borderId="9" applyNumberFormat="0" applyFont="0" applyAlignment="0" applyProtection="0"/>
  </cellStyleXfs>
  <cellXfs count="75">
    <xf numFmtId="0" fontId="0" fillId="0" borderId="0" xfId="0"/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8" fillId="0" borderId="0" xfId="2" applyFont="1"/>
    <xf numFmtId="1" fontId="3" fillId="0" borderId="0" xfId="0" applyNumberFormat="1" applyFont="1"/>
    <xf numFmtId="0" fontId="4" fillId="0" borderId="0" xfId="0" applyFont="1" applyAlignment="1">
      <alignment horizontal="left"/>
    </xf>
    <xf numFmtId="0" fontId="4" fillId="0" borderId="0" xfId="0" applyFont="1"/>
    <xf numFmtId="0" fontId="6" fillId="0" borderId="0" xfId="0" applyFont="1"/>
    <xf numFmtId="2" fontId="9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2" fontId="10" fillId="0" borderId="0" xfId="0" applyNumberFormat="1" applyFont="1" applyAlignment="1" applyProtection="1">
      <alignment horizontal="center"/>
      <protection locked="0"/>
    </xf>
    <xf numFmtId="2" fontId="11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1" fontId="10" fillId="0" borderId="0" xfId="0" applyNumberFormat="1" applyFont="1" applyAlignment="1" applyProtection="1">
      <alignment horizontal="center"/>
      <protection locked="0"/>
    </xf>
    <xf numFmtId="1" fontId="11" fillId="0" borderId="0" xfId="0" applyNumberFormat="1" applyFont="1" applyAlignment="1">
      <alignment horizontal="center"/>
    </xf>
    <xf numFmtId="1" fontId="4" fillId="0" borderId="0" xfId="0" applyNumberFormat="1" applyFont="1"/>
    <xf numFmtId="1" fontId="8" fillId="0" borderId="0" xfId="2" applyNumberFormat="1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0" fillId="0" borderId="0" xfId="0" applyFont="1"/>
    <xf numFmtId="0" fontId="0" fillId="2" borderId="0" xfId="0" applyFill="1"/>
    <xf numFmtId="0" fontId="3" fillId="2" borderId="0" xfId="0" applyFont="1" applyFill="1"/>
    <xf numFmtId="2" fontId="3" fillId="0" borderId="0" xfId="0" applyNumberFormat="1" applyFont="1"/>
    <xf numFmtId="0" fontId="3" fillId="3" borderId="0" xfId="0" applyFont="1" applyFill="1"/>
    <xf numFmtId="0" fontId="2" fillId="0" borderId="0" xfId="0" applyFont="1"/>
    <xf numFmtId="0" fontId="0" fillId="4" borderId="0" xfId="0" applyFill="1"/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164" fontId="10" fillId="0" borderId="0" xfId="0" applyNumberFormat="1" applyFont="1" applyAlignment="1">
      <alignment horizontal="center"/>
    </xf>
    <xf numFmtId="164" fontId="10" fillId="0" borderId="0" xfId="2" applyNumberFormat="1" applyFont="1" applyAlignment="1">
      <alignment horizontal="center"/>
    </xf>
    <xf numFmtId="0" fontId="3" fillId="5" borderId="0" xfId="0" applyFont="1" applyFill="1"/>
    <xf numFmtId="0" fontId="3" fillId="5" borderId="0" xfId="0" applyFont="1" applyFill="1" applyAlignment="1">
      <alignment horizontal="center"/>
    </xf>
    <xf numFmtId="0" fontId="13" fillId="0" borderId="1" xfId="0" applyFont="1" applyBorder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/>
    <xf numFmtId="0" fontId="15" fillId="0" borderId="0" xfId="0" applyFont="1" applyAlignment="1">
      <alignment horizontal="center"/>
    </xf>
    <xf numFmtId="165" fontId="15" fillId="0" borderId="0" xfId="0" applyNumberFormat="1" applyFont="1" applyAlignment="1">
      <alignment horizontal="center"/>
    </xf>
    <xf numFmtId="0" fontId="2" fillId="6" borderId="0" xfId="0" applyFont="1" applyFill="1"/>
    <xf numFmtId="0" fontId="3" fillId="6" borderId="0" xfId="0" applyFont="1" applyFill="1"/>
    <xf numFmtId="0" fontId="0" fillId="6" borderId="0" xfId="0" applyFill="1"/>
    <xf numFmtId="164" fontId="0" fillId="0" borderId="0" xfId="0" applyNumberFormat="1"/>
    <xf numFmtId="164" fontId="13" fillId="0" borderId="0" xfId="0" applyNumberFormat="1" applyFont="1" applyAlignment="1">
      <alignment horizontal="center"/>
    </xf>
    <xf numFmtId="0" fontId="3" fillId="38" borderId="0" xfId="0" applyFont="1" applyFill="1"/>
    <xf numFmtId="2" fontId="33" fillId="0" borderId="0" xfId="0" applyNumberFormat="1" applyFont="1" applyAlignment="1">
      <alignment horizontal="left"/>
    </xf>
    <xf numFmtId="0" fontId="0" fillId="39" borderId="0" xfId="0" applyFill="1"/>
    <xf numFmtId="0" fontId="0" fillId="5" borderId="0" xfId="0" applyFill="1"/>
    <xf numFmtId="0" fontId="13" fillId="5" borderId="0" xfId="0" applyFont="1" applyFill="1" applyAlignment="1">
      <alignment horizontal="center"/>
    </xf>
    <xf numFmtId="0" fontId="3" fillId="39" borderId="0" xfId="0" applyFont="1" applyFill="1" applyAlignment="1">
      <alignment horizontal="center"/>
    </xf>
    <xf numFmtId="0" fontId="3" fillId="39" borderId="0" xfId="0" applyFont="1" applyFill="1"/>
    <xf numFmtId="2" fontId="34" fillId="0" borderId="0" xfId="0" applyNumberFormat="1" applyFont="1" applyAlignment="1">
      <alignment horizontal="center"/>
    </xf>
    <xf numFmtId="164" fontId="35" fillId="0" borderId="0" xfId="0" applyNumberFormat="1" applyFont="1" applyAlignment="1">
      <alignment horizontal="center"/>
    </xf>
    <xf numFmtId="164" fontId="35" fillId="0" borderId="0" xfId="2" applyNumberFormat="1" applyFont="1" applyAlignment="1">
      <alignment horizontal="center"/>
    </xf>
    <xf numFmtId="0" fontId="36" fillId="0" borderId="0" xfId="0" applyFont="1"/>
    <xf numFmtId="0" fontId="0" fillId="0" borderId="11" xfId="0" applyBorder="1" applyAlignment="1">
      <alignment horizontal="center"/>
    </xf>
    <xf numFmtId="0" fontId="0" fillId="3" borderId="11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center"/>
    </xf>
    <xf numFmtId="0" fontId="3" fillId="40" borderId="0" xfId="0" applyFont="1" applyFill="1"/>
    <xf numFmtId="2" fontId="0" fillId="3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0" fontId="38" fillId="41" borderId="0" xfId="0" applyFont="1" applyFill="1"/>
    <xf numFmtId="1" fontId="38" fillId="41" borderId="0" xfId="0" applyNumberFormat="1" applyFont="1" applyFill="1"/>
    <xf numFmtId="0" fontId="0" fillId="40" borderId="11" xfId="0" applyFill="1" applyBorder="1" applyAlignment="1">
      <alignment horizontal="center"/>
    </xf>
    <xf numFmtId="0" fontId="0" fillId="42" borderId="11" xfId="0" applyFill="1" applyBorder="1" applyAlignment="1">
      <alignment horizontal="center"/>
    </xf>
    <xf numFmtId="0" fontId="3" fillId="42" borderId="0" xfId="0" applyFont="1" applyFill="1"/>
    <xf numFmtId="0" fontId="0" fillId="4" borderId="11" xfId="0" applyFill="1" applyBorder="1" applyAlignment="1">
      <alignment horizont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1" xr:uid="{00000000-0005-0000-0000-000025000000}"/>
    <cellStyle name="Normal 3" xfId="43" xr:uid="{00000000-0005-0000-0000-000026000000}"/>
    <cellStyle name="Normal_C_ITEdata.xls" xfId="2" xr:uid="{00000000-0005-0000-0000-000027000000}"/>
    <cellStyle name="Note 2" xfId="44" xr:uid="{00000000-0005-0000-0000-000028000000}"/>
    <cellStyle name="Output" xfId="12" builtinId="21" customBuiltin="1"/>
    <cellStyle name="Title" xfId="3" builtinId="15" customBuiltin="1"/>
    <cellStyle name="Total" xfId="18" builtinId="25" customBuiltin="1"/>
    <cellStyle name="Warning Text" xfId="16" builtinId="11" customBuiltin="1"/>
  </cellStyles>
  <dxfs count="0"/>
  <tableStyles count="0" defaultTableStyle="TableStyleMedium9" defaultPivotStyle="PivotStyleLight16"/>
  <colors>
    <mruColors>
      <color rgb="FF00A7E2"/>
      <color rgb="FFF5770F"/>
      <color rgb="FFFF9F1B"/>
      <color rgb="FF3E7FB8"/>
      <color rgb="FF3333FF"/>
      <color rgb="FFC05B08"/>
      <color rgb="FFB8E0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microsoft.com/office/2017/10/relationships/person" Target="persons/person0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12" Type="http://schemas.microsoft.com/office/2017/10/relationships/person" Target="persons/pers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5" Type="http://schemas.microsoft.com/office/2017/10/relationships/person" Target="persons/person2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Relationship Id="rId14" Type="http://schemas.microsoft.com/office/2017/10/relationships/person" Target="persons/person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0007794195672E-2"/>
          <c:y val="4.0780604903725898E-2"/>
          <c:w val="0.89895999136065097"/>
          <c:h val="0.86720230219156502"/>
        </c:manualLayout>
      </c:layout>
      <c:lineChart>
        <c:grouping val="standard"/>
        <c:varyColors val="0"/>
        <c:ser>
          <c:idx val="0"/>
          <c:order val="0"/>
          <c:tx>
            <c:v>HB2015-9</c:v>
          </c:tx>
          <c:cat>
            <c:strRef>
              <c:f>'All &gt;6%MgO'!$A$3:$A$25</c:f>
              <c:strCache>
                <c:ptCount val="23"/>
                <c:pt idx="0">
                  <c:v>Cs</c:v>
                </c:pt>
                <c:pt idx="1">
                  <c:v>Rb</c:v>
                </c:pt>
                <c:pt idx="2">
                  <c:v>Ba</c:v>
                </c:pt>
                <c:pt idx="3">
                  <c:v>Th</c:v>
                </c:pt>
                <c:pt idx="4">
                  <c:v>U</c:v>
                </c:pt>
                <c:pt idx="5">
                  <c:v>Nb</c:v>
                </c:pt>
                <c:pt idx="6">
                  <c:v>Ta</c:v>
                </c:pt>
                <c:pt idx="7">
                  <c:v>K</c:v>
                </c:pt>
                <c:pt idx="8">
                  <c:v>La</c:v>
                </c:pt>
                <c:pt idx="9">
                  <c:v>Ce</c:v>
                </c:pt>
                <c:pt idx="10">
                  <c:v>Pb</c:v>
                </c:pt>
                <c:pt idx="11">
                  <c:v>Sr</c:v>
                </c:pt>
                <c:pt idx="12">
                  <c:v>P</c:v>
                </c:pt>
                <c:pt idx="13">
                  <c:v>Nd</c:v>
                </c:pt>
                <c:pt idx="14">
                  <c:v>Sm</c:v>
                </c:pt>
                <c:pt idx="15">
                  <c:v>Zr</c:v>
                </c:pt>
                <c:pt idx="16">
                  <c:v>Hf</c:v>
                </c:pt>
                <c:pt idx="17">
                  <c:v>Eu</c:v>
                </c:pt>
                <c:pt idx="18">
                  <c:v>Ti</c:v>
                </c:pt>
                <c:pt idx="19">
                  <c:v>Tb</c:v>
                </c:pt>
                <c:pt idx="20">
                  <c:v>Y</c:v>
                </c:pt>
                <c:pt idx="21">
                  <c:v>Yb</c:v>
                </c:pt>
                <c:pt idx="22">
                  <c:v>Lu</c:v>
                </c:pt>
              </c:strCache>
            </c:strRef>
          </c:cat>
          <c:val>
            <c:numRef>
              <c:f>'All &gt;6%MgO'!#REF!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3B-A24E-A8C6-48799741021A}"/>
            </c:ext>
          </c:extLst>
        </c:ser>
        <c:ser>
          <c:idx val="1"/>
          <c:order val="1"/>
          <c:tx>
            <c:v>HB2015-10</c:v>
          </c:tx>
          <c:cat>
            <c:strRef>
              <c:f>'All &gt;6%MgO'!$A$3:$A$25</c:f>
              <c:strCache>
                <c:ptCount val="23"/>
                <c:pt idx="0">
                  <c:v>Cs</c:v>
                </c:pt>
                <c:pt idx="1">
                  <c:v>Rb</c:v>
                </c:pt>
                <c:pt idx="2">
                  <c:v>Ba</c:v>
                </c:pt>
                <c:pt idx="3">
                  <c:v>Th</c:v>
                </c:pt>
                <c:pt idx="4">
                  <c:v>U</c:v>
                </c:pt>
                <c:pt idx="5">
                  <c:v>Nb</c:v>
                </c:pt>
                <c:pt idx="6">
                  <c:v>Ta</c:v>
                </c:pt>
                <c:pt idx="7">
                  <c:v>K</c:v>
                </c:pt>
                <c:pt idx="8">
                  <c:v>La</c:v>
                </c:pt>
                <c:pt idx="9">
                  <c:v>Ce</c:v>
                </c:pt>
                <c:pt idx="10">
                  <c:v>Pb</c:v>
                </c:pt>
                <c:pt idx="11">
                  <c:v>Sr</c:v>
                </c:pt>
                <c:pt idx="12">
                  <c:v>P</c:v>
                </c:pt>
                <c:pt idx="13">
                  <c:v>Nd</c:v>
                </c:pt>
                <c:pt idx="14">
                  <c:v>Sm</c:v>
                </c:pt>
                <c:pt idx="15">
                  <c:v>Zr</c:v>
                </c:pt>
                <c:pt idx="16">
                  <c:v>Hf</c:v>
                </c:pt>
                <c:pt idx="17">
                  <c:v>Eu</c:v>
                </c:pt>
                <c:pt idx="18">
                  <c:v>Ti</c:v>
                </c:pt>
                <c:pt idx="19">
                  <c:v>Tb</c:v>
                </c:pt>
                <c:pt idx="20">
                  <c:v>Y</c:v>
                </c:pt>
                <c:pt idx="21">
                  <c:v>Yb</c:v>
                </c:pt>
                <c:pt idx="22">
                  <c:v>Lu</c:v>
                </c:pt>
              </c:strCache>
            </c:strRef>
          </c:cat>
          <c:val>
            <c:numRef>
              <c:f>'All &gt;6%MgO'!#REF!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3B-A24E-A8C6-48799741021A}"/>
            </c:ext>
          </c:extLst>
        </c:ser>
        <c:ser>
          <c:idx val="2"/>
          <c:order val="2"/>
          <c:tx>
            <c:v>HB2015-11</c:v>
          </c:tx>
          <c:cat>
            <c:strRef>
              <c:f>'All &gt;6%MgO'!$A$3:$A$25</c:f>
              <c:strCache>
                <c:ptCount val="23"/>
                <c:pt idx="0">
                  <c:v>Cs</c:v>
                </c:pt>
                <c:pt idx="1">
                  <c:v>Rb</c:v>
                </c:pt>
                <c:pt idx="2">
                  <c:v>Ba</c:v>
                </c:pt>
                <c:pt idx="3">
                  <c:v>Th</c:v>
                </c:pt>
                <c:pt idx="4">
                  <c:v>U</c:v>
                </c:pt>
                <c:pt idx="5">
                  <c:v>Nb</c:v>
                </c:pt>
                <c:pt idx="6">
                  <c:v>Ta</c:v>
                </c:pt>
                <c:pt idx="7">
                  <c:v>K</c:v>
                </c:pt>
                <c:pt idx="8">
                  <c:v>La</c:v>
                </c:pt>
                <c:pt idx="9">
                  <c:v>Ce</c:v>
                </c:pt>
                <c:pt idx="10">
                  <c:v>Pb</c:v>
                </c:pt>
                <c:pt idx="11">
                  <c:v>Sr</c:v>
                </c:pt>
                <c:pt idx="12">
                  <c:v>P</c:v>
                </c:pt>
                <c:pt idx="13">
                  <c:v>Nd</c:v>
                </c:pt>
                <c:pt idx="14">
                  <c:v>Sm</c:v>
                </c:pt>
                <c:pt idx="15">
                  <c:v>Zr</c:v>
                </c:pt>
                <c:pt idx="16">
                  <c:v>Hf</c:v>
                </c:pt>
                <c:pt idx="17">
                  <c:v>Eu</c:v>
                </c:pt>
                <c:pt idx="18">
                  <c:v>Ti</c:v>
                </c:pt>
                <c:pt idx="19">
                  <c:v>Tb</c:v>
                </c:pt>
                <c:pt idx="20">
                  <c:v>Y</c:v>
                </c:pt>
                <c:pt idx="21">
                  <c:v>Yb</c:v>
                </c:pt>
                <c:pt idx="22">
                  <c:v>Lu</c:v>
                </c:pt>
              </c:strCache>
            </c:strRef>
          </c:cat>
          <c:val>
            <c:numRef>
              <c:f>'All &gt;6%MgO'!#REF!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3B-A24E-A8C6-48799741021A}"/>
            </c:ext>
          </c:extLst>
        </c:ser>
        <c:ser>
          <c:idx val="3"/>
          <c:order val="3"/>
          <c:tx>
            <c:v>HB2015-12</c:v>
          </c:tx>
          <c:cat>
            <c:strRef>
              <c:f>'All &gt;6%MgO'!$A$3:$A$25</c:f>
              <c:strCache>
                <c:ptCount val="23"/>
                <c:pt idx="0">
                  <c:v>Cs</c:v>
                </c:pt>
                <c:pt idx="1">
                  <c:v>Rb</c:v>
                </c:pt>
                <c:pt idx="2">
                  <c:v>Ba</c:v>
                </c:pt>
                <c:pt idx="3">
                  <c:v>Th</c:v>
                </c:pt>
                <c:pt idx="4">
                  <c:v>U</c:v>
                </c:pt>
                <c:pt idx="5">
                  <c:v>Nb</c:v>
                </c:pt>
                <c:pt idx="6">
                  <c:v>Ta</c:v>
                </c:pt>
                <c:pt idx="7">
                  <c:v>K</c:v>
                </c:pt>
                <c:pt idx="8">
                  <c:v>La</c:v>
                </c:pt>
                <c:pt idx="9">
                  <c:v>Ce</c:v>
                </c:pt>
                <c:pt idx="10">
                  <c:v>Pb</c:v>
                </c:pt>
                <c:pt idx="11">
                  <c:v>Sr</c:v>
                </c:pt>
                <c:pt idx="12">
                  <c:v>P</c:v>
                </c:pt>
                <c:pt idx="13">
                  <c:v>Nd</c:v>
                </c:pt>
                <c:pt idx="14">
                  <c:v>Sm</c:v>
                </c:pt>
                <c:pt idx="15">
                  <c:v>Zr</c:v>
                </c:pt>
                <c:pt idx="16">
                  <c:v>Hf</c:v>
                </c:pt>
                <c:pt idx="17">
                  <c:v>Eu</c:v>
                </c:pt>
                <c:pt idx="18">
                  <c:v>Ti</c:v>
                </c:pt>
                <c:pt idx="19">
                  <c:v>Tb</c:v>
                </c:pt>
                <c:pt idx="20">
                  <c:v>Y</c:v>
                </c:pt>
                <c:pt idx="21">
                  <c:v>Yb</c:v>
                </c:pt>
                <c:pt idx="22">
                  <c:v>Lu</c:v>
                </c:pt>
              </c:strCache>
            </c:strRef>
          </c:cat>
          <c:val>
            <c:numRef>
              <c:f>'All &gt;6%MgO'!#REF!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3B-A24E-A8C6-48799741021A}"/>
            </c:ext>
          </c:extLst>
        </c:ser>
        <c:ser>
          <c:idx val="4"/>
          <c:order val="4"/>
          <c:tx>
            <c:v>QBW201</c:v>
          </c:tx>
          <c:val>
            <c:numRef>
              <c:f>'All &gt;6%MgO'!$FL$3:$FL$25</c:f>
              <c:numCache>
                <c:formatCode>General</c:formatCode>
                <c:ptCount val="23"/>
                <c:pt idx="0">
                  <c:v>0</c:v>
                </c:pt>
                <c:pt idx="1">
                  <c:v>22.047244094488189</c:v>
                </c:pt>
                <c:pt idx="2">
                  <c:v>21.891543854628704</c:v>
                </c:pt>
                <c:pt idx="3">
                  <c:v>25.882352941176471</c:v>
                </c:pt>
                <c:pt idx="4">
                  <c:v>0</c:v>
                </c:pt>
                <c:pt idx="5">
                  <c:v>14.025245441795231</c:v>
                </c:pt>
                <c:pt idx="6">
                  <c:v>13.902439024390242</c:v>
                </c:pt>
                <c:pt idx="7">
                  <c:v>17.666666666666668</c:v>
                </c:pt>
                <c:pt idx="8">
                  <c:v>33.478893740902471</c:v>
                </c:pt>
                <c:pt idx="9">
                  <c:v>0</c:v>
                </c:pt>
                <c:pt idx="10">
                  <c:v>59.154929577464799</c:v>
                </c:pt>
                <c:pt idx="11">
                  <c:v>11.990521327014218</c:v>
                </c:pt>
                <c:pt idx="12">
                  <c:v>7.7981651376146797</c:v>
                </c:pt>
                <c:pt idx="13">
                  <c:v>0</c:v>
                </c:pt>
                <c:pt idx="14">
                  <c:v>9.6846846846846848</c:v>
                </c:pt>
                <c:pt idx="15">
                  <c:v>8.8392857142857153</c:v>
                </c:pt>
                <c:pt idx="16">
                  <c:v>8.7378640776699044</c:v>
                </c:pt>
                <c:pt idx="17">
                  <c:v>6.5476190476190474</c:v>
                </c:pt>
                <c:pt idx="18">
                  <c:v>6.0885608856088567</c:v>
                </c:pt>
                <c:pt idx="19">
                  <c:v>0</c:v>
                </c:pt>
                <c:pt idx="20">
                  <c:v>4.8351648351648358</c:v>
                </c:pt>
                <c:pt idx="21">
                  <c:v>4.056795131845842</c:v>
                </c:pt>
                <c:pt idx="22">
                  <c:v>3.7837837837837842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3B-A24E-A8C6-48799741021A}"/>
            </c:ext>
          </c:extLst>
        </c:ser>
        <c:ser>
          <c:idx val="5"/>
          <c:order val="5"/>
          <c:tx>
            <c:v>Lb91-101</c:v>
          </c:tx>
          <c:val>
            <c:numRef>
              <c:f>'All &gt;6%MgO'!$FM$3:$FM$25</c:f>
              <c:numCache>
                <c:formatCode>General</c:formatCode>
                <c:ptCount val="23"/>
                <c:pt idx="0">
                  <c:v>0</c:v>
                </c:pt>
                <c:pt idx="1">
                  <c:v>22.047244094488189</c:v>
                </c:pt>
                <c:pt idx="2">
                  <c:v>56.946630419230218</c:v>
                </c:pt>
                <c:pt idx="3">
                  <c:v>25.882352941176471</c:v>
                </c:pt>
                <c:pt idx="4">
                  <c:v>38.095238095238095</c:v>
                </c:pt>
                <c:pt idx="5">
                  <c:v>15.427769985974756</c:v>
                </c:pt>
                <c:pt idx="6">
                  <c:v>12.195121951219512</c:v>
                </c:pt>
                <c:pt idx="7">
                  <c:v>32.333333333333336</c:v>
                </c:pt>
                <c:pt idx="8">
                  <c:v>26.491994177583695</c:v>
                </c:pt>
                <c:pt idx="9">
                  <c:v>23.098591549295776</c:v>
                </c:pt>
                <c:pt idx="10">
                  <c:v>69.01408450704227</c:v>
                </c:pt>
                <c:pt idx="11">
                  <c:v>26.729857819905213</c:v>
                </c:pt>
                <c:pt idx="12">
                  <c:v>16.055045871559631</c:v>
                </c:pt>
                <c:pt idx="13">
                  <c:v>15.509601181683898</c:v>
                </c:pt>
                <c:pt idx="14">
                  <c:v>9.9099099099099099</c:v>
                </c:pt>
                <c:pt idx="15">
                  <c:v>12.053571428571429</c:v>
                </c:pt>
                <c:pt idx="16">
                  <c:v>10.355987055016183</c:v>
                </c:pt>
                <c:pt idx="17">
                  <c:v>8.5714285714285712</c:v>
                </c:pt>
                <c:pt idx="18">
                  <c:v>5.2583025830258299</c:v>
                </c:pt>
                <c:pt idx="19">
                  <c:v>0</c:v>
                </c:pt>
                <c:pt idx="20">
                  <c:v>3.9560439560439562</c:v>
                </c:pt>
                <c:pt idx="21">
                  <c:v>3.6511156186612577</c:v>
                </c:pt>
                <c:pt idx="22">
                  <c:v>3.7837837837837842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3B-A24E-A8C6-487997410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996032"/>
        <c:axId val="147997824"/>
      </c:lineChart>
      <c:catAx>
        <c:axId val="1479960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7997824"/>
        <c:crossesAt val="1"/>
        <c:auto val="1"/>
        <c:lblAlgn val="ctr"/>
        <c:lblOffset val="100"/>
        <c:noMultiLvlLbl val="0"/>
      </c:catAx>
      <c:valAx>
        <c:axId val="147997824"/>
        <c:scaling>
          <c:logBase val="10"/>
          <c:orientation val="minMax"/>
          <c:max val="1000"/>
          <c:min val="1"/>
        </c:scaling>
        <c:delete val="0"/>
        <c:axPos val="l"/>
        <c:numFmt formatCode="General" sourceLinked="1"/>
        <c:majorTickMark val="out"/>
        <c:minorTickMark val="none"/>
        <c:tickLblPos val="nextTo"/>
        <c:crossAx val="147996032"/>
        <c:crosses val="autoZero"/>
        <c:crossBetween val="between"/>
        <c:majorUnit val="10"/>
        <c:minorUnit val="10"/>
      </c:valAx>
    </c:plotArea>
    <c:legend>
      <c:legendPos val="r"/>
      <c:layout>
        <c:manualLayout>
          <c:xMode val="edge"/>
          <c:yMode val="edge"/>
          <c:x val="0.79928443649373904"/>
          <c:y val="3.9797256747865203E-2"/>
          <c:w val="0.17924865831842601"/>
          <c:h val="0.3985215071256589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07174103237096E-2"/>
          <c:y val="5.1400554097404488E-2"/>
          <c:w val="0.88649094122564653"/>
          <c:h val="0.8326195683872849"/>
        </c:manualLayout>
      </c:layout>
      <c:lineChart>
        <c:grouping val="standard"/>
        <c:varyColors val="0"/>
        <c:ser>
          <c:idx val="0"/>
          <c:order val="0"/>
          <c:tx>
            <c:v>Gediz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cat>
            <c:numRef>
              <c:f>'All &gt;6%MgO'!$HQ$3:$HQ$25</c:f>
              <c:numCache>
                <c:formatCode>General</c:formatCode>
                <c:ptCount val="23"/>
                <c:pt idx="0">
                  <c:v>0.578125</c:v>
                </c:pt>
                <c:pt idx="1">
                  <c:v>0.56756756756756754</c:v>
                </c:pt>
                <c:pt idx="2">
                  <c:v>0.63636363636363635</c:v>
                </c:pt>
                <c:pt idx="3">
                  <c:v>0.46130952380952384</c:v>
                </c:pt>
                <c:pt idx="5">
                  <c:v>0.79797979797979801</c:v>
                </c:pt>
                <c:pt idx="6">
                  <c:v>0.34309623430962338</c:v>
                </c:pt>
                <c:pt idx="7">
                  <c:v>0.8421052631578948</c:v>
                </c:pt>
                <c:pt idx="8">
                  <c:v>0.77419354838709686</c:v>
                </c:pt>
                <c:pt idx="9">
                  <c:v>0.79296066252587993</c:v>
                </c:pt>
                <c:pt idx="10">
                  <c:v>0.41666666666666669</c:v>
                </c:pt>
                <c:pt idx="11">
                  <c:v>1.421455938697318</c:v>
                </c:pt>
                <c:pt idx="12">
                  <c:v>0.73333333333333339</c:v>
                </c:pt>
                <c:pt idx="13">
                  <c:v>0.75229357798165131</c:v>
                </c:pt>
                <c:pt idx="14">
                  <c:v>0.8793103448275863</c:v>
                </c:pt>
                <c:pt idx="15">
                  <c:v>0.82511210762331844</c:v>
                </c:pt>
                <c:pt idx="16">
                  <c:v>0.74193548387096764</c:v>
                </c:pt>
                <c:pt idx="17">
                  <c:v>0.94331983805668007</c:v>
                </c:pt>
                <c:pt idx="18">
                  <c:v>0.89</c:v>
                </c:pt>
                <c:pt idx="19">
                  <c:v>0.93846153846153846</c:v>
                </c:pt>
                <c:pt idx="20">
                  <c:v>0.66</c:v>
                </c:pt>
                <c:pt idx="21">
                  <c:v>0.7004504504504504</c:v>
                </c:pt>
                <c:pt idx="22">
                  <c:v>0.64383561643835618</c:v>
                </c:pt>
              </c:numCache>
            </c:numRef>
          </c:cat>
          <c:val>
            <c:numRef>
              <c:f>'All &gt;6%MgO'!#REF!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04-F945-8EDC-1A42333797D6}"/>
            </c:ext>
          </c:extLst>
        </c:ser>
        <c:ser>
          <c:idx val="1"/>
          <c:order val="1"/>
          <c:tx>
            <c:v>Gediz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cat>
            <c:numRef>
              <c:f>'All &gt;6%MgO'!$HQ$3:$HQ$25</c:f>
              <c:numCache>
                <c:formatCode>General</c:formatCode>
                <c:ptCount val="23"/>
                <c:pt idx="0">
                  <c:v>0.578125</c:v>
                </c:pt>
                <c:pt idx="1">
                  <c:v>0.56756756756756754</c:v>
                </c:pt>
                <c:pt idx="2">
                  <c:v>0.63636363636363635</c:v>
                </c:pt>
                <c:pt idx="3">
                  <c:v>0.46130952380952384</c:v>
                </c:pt>
                <c:pt idx="5">
                  <c:v>0.79797979797979801</c:v>
                </c:pt>
                <c:pt idx="6">
                  <c:v>0.34309623430962338</c:v>
                </c:pt>
                <c:pt idx="7">
                  <c:v>0.8421052631578948</c:v>
                </c:pt>
                <c:pt idx="8">
                  <c:v>0.77419354838709686</c:v>
                </c:pt>
                <c:pt idx="9">
                  <c:v>0.79296066252587993</c:v>
                </c:pt>
                <c:pt idx="10">
                  <c:v>0.41666666666666669</c:v>
                </c:pt>
                <c:pt idx="11">
                  <c:v>1.421455938697318</c:v>
                </c:pt>
                <c:pt idx="12">
                  <c:v>0.73333333333333339</c:v>
                </c:pt>
                <c:pt idx="13">
                  <c:v>0.75229357798165131</c:v>
                </c:pt>
                <c:pt idx="14">
                  <c:v>0.8793103448275863</c:v>
                </c:pt>
                <c:pt idx="15">
                  <c:v>0.82511210762331844</c:v>
                </c:pt>
                <c:pt idx="16">
                  <c:v>0.74193548387096764</c:v>
                </c:pt>
                <c:pt idx="17">
                  <c:v>0.94331983805668007</c:v>
                </c:pt>
                <c:pt idx="18">
                  <c:v>0.89</c:v>
                </c:pt>
                <c:pt idx="19">
                  <c:v>0.93846153846153846</c:v>
                </c:pt>
                <c:pt idx="20">
                  <c:v>0.66</c:v>
                </c:pt>
                <c:pt idx="21">
                  <c:v>0.7004504504504504</c:v>
                </c:pt>
                <c:pt idx="22">
                  <c:v>0.64383561643835618</c:v>
                </c:pt>
              </c:numCache>
            </c:numRef>
          </c:cat>
          <c:val>
            <c:numRef>
              <c:f>'All &gt;6%MgO'!#REF!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04-F945-8EDC-1A42333797D6}"/>
            </c:ext>
          </c:extLst>
        </c:ser>
        <c:ser>
          <c:idx val="3"/>
          <c:order val="2"/>
          <c:tx>
            <c:v>Kula</c:v>
          </c:tx>
          <c:spPr>
            <a:ln>
              <a:solidFill>
                <a:srgbClr val="F5770F"/>
              </a:solidFill>
            </a:ln>
          </c:spPr>
          <c:marker>
            <c:symbol val="none"/>
          </c:marker>
          <c:val>
            <c:numRef>
              <c:f>'All &gt;6%MgO'!#REF!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04-F945-8EDC-1A42333797D6}"/>
            </c:ext>
          </c:extLst>
        </c:ser>
        <c:ser>
          <c:idx val="4"/>
          <c:order val="3"/>
          <c:tx>
            <c:v>Kula</c:v>
          </c:tx>
          <c:spPr>
            <a:ln>
              <a:solidFill>
                <a:srgbClr val="FF9F1B"/>
              </a:solidFill>
            </a:ln>
          </c:spPr>
          <c:marker>
            <c:symbol val="none"/>
          </c:marker>
          <c:val>
            <c:numRef>
              <c:f>'All &gt;6%MgO'!#REF!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04-F945-8EDC-1A42333797D6}"/>
            </c:ext>
          </c:extLst>
        </c:ser>
        <c:ser>
          <c:idx val="2"/>
          <c:order val="4"/>
          <c:tx>
            <c:v>OIB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'All &gt;6%MgO'!$D$3:$D$25</c:f>
              <c:numCache>
                <c:formatCode>0.00</c:formatCode>
                <c:ptCount val="23"/>
                <c:pt idx="0">
                  <c:v>48.987341772151893</c:v>
                </c:pt>
                <c:pt idx="1">
                  <c:v>48.818897637795274</c:v>
                </c:pt>
                <c:pt idx="2">
                  <c:v>50.07869509228788</c:v>
                </c:pt>
                <c:pt idx="3">
                  <c:v>47.058823529411761</c:v>
                </c:pt>
                <c:pt idx="4">
                  <c:v>48.571428571428569</c:v>
                </c:pt>
                <c:pt idx="5">
                  <c:v>67.32117812061712</c:v>
                </c:pt>
                <c:pt idx="6">
                  <c:v>65.853658536585371</c:v>
                </c:pt>
                <c:pt idx="7">
                  <c:v>48.166666666666671</c:v>
                </c:pt>
                <c:pt idx="8">
                  <c:v>53.857350800582239</c:v>
                </c:pt>
                <c:pt idx="9">
                  <c:v>45.070422535211272</c:v>
                </c:pt>
                <c:pt idx="10">
                  <c:v>45.070422535211272</c:v>
                </c:pt>
                <c:pt idx="11">
                  <c:v>31.279620853080566</c:v>
                </c:pt>
                <c:pt idx="12">
                  <c:v>28.394495412844037</c:v>
                </c:pt>
                <c:pt idx="13">
                  <c:v>28.434268833087149</c:v>
                </c:pt>
                <c:pt idx="14">
                  <c:v>22.522522522522522</c:v>
                </c:pt>
                <c:pt idx="15">
                  <c:v>25</c:v>
                </c:pt>
                <c:pt idx="16">
                  <c:v>25.242718446601941</c:v>
                </c:pt>
                <c:pt idx="17">
                  <c:v>17.857142857142858</c:v>
                </c:pt>
                <c:pt idx="18">
                  <c:v>13.238007380073801</c:v>
                </c:pt>
                <c:pt idx="19">
                  <c:v>9.7222222222222232</c:v>
                </c:pt>
                <c:pt idx="20">
                  <c:v>6.3736263736263741</c:v>
                </c:pt>
                <c:pt idx="21">
                  <c:v>4.3813387423935097</c:v>
                </c:pt>
                <c:pt idx="22">
                  <c:v>4.0540540540540544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004-F945-8EDC-1A4233379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302080"/>
        <c:axId val="148373504"/>
      </c:lineChart>
      <c:catAx>
        <c:axId val="148302080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crossAx val="148373504"/>
        <c:crossesAt val="1"/>
        <c:auto val="1"/>
        <c:lblAlgn val="ctr"/>
        <c:lblOffset val="100"/>
        <c:noMultiLvlLbl val="0"/>
      </c:catAx>
      <c:valAx>
        <c:axId val="148373504"/>
        <c:scaling>
          <c:logBase val="10"/>
          <c:orientation val="minMax"/>
          <c:max val="10000"/>
          <c:min val="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0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000" b="1">
                    <a:latin typeface="Arial" panose="020B0604020202020204" pitchFamily="34" charset="0"/>
                    <a:cs typeface="Arial" panose="020B0604020202020204" pitchFamily="34" charset="0"/>
                  </a:rPr>
                  <a:t>Rock/iPrimitive</a:t>
                </a:r>
                <a:r>
                  <a:rPr lang="en-US" sz="1000" b="1" baseline="0">
                    <a:latin typeface="Arial" panose="020B0604020202020204" pitchFamily="34" charset="0"/>
                    <a:cs typeface="Arial" panose="020B0604020202020204" pitchFamily="34" charset="0"/>
                  </a:rPr>
                  <a:t> Mantle</a:t>
                </a:r>
                <a:endParaRPr lang="en-US" sz="10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8302080"/>
        <c:crosses val="autoZero"/>
        <c:crossBetween val="between"/>
        <c:majorUnit val="10"/>
        <c:minorUnit val="10"/>
      </c:valAx>
    </c:plotArea>
    <c:legend>
      <c:legendPos val="r"/>
      <c:legendEntry>
        <c:idx val="0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81853966957611946"/>
          <c:y val="0.27470383660336001"/>
          <c:w val="0.15246476084079588"/>
          <c:h val="0.17832302746428622"/>
        </c:manualLayout>
      </c:layout>
      <c:overlay val="0"/>
      <c:txPr>
        <a:bodyPr/>
        <a:lstStyle/>
        <a:p>
          <a:pPr>
            <a:defRPr sz="1000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141755199842426E-2"/>
          <c:y val="5.0925925925925923E-2"/>
          <c:w val="0.88173791262295276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Columbia River   Basalt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'All &gt;6%MgO'!$A$3:$A$25</c:f>
              <c:strCache>
                <c:ptCount val="23"/>
                <c:pt idx="0">
                  <c:v>Cs</c:v>
                </c:pt>
                <c:pt idx="1">
                  <c:v>Rb</c:v>
                </c:pt>
                <c:pt idx="2">
                  <c:v>Ba</c:v>
                </c:pt>
                <c:pt idx="3">
                  <c:v>Th</c:v>
                </c:pt>
                <c:pt idx="4">
                  <c:v>U</c:v>
                </c:pt>
                <c:pt idx="5">
                  <c:v>Nb</c:v>
                </c:pt>
                <c:pt idx="6">
                  <c:v>Ta</c:v>
                </c:pt>
                <c:pt idx="7">
                  <c:v>K</c:v>
                </c:pt>
                <c:pt idx="8">
                  <c:v>La</c:v>
                </c:pt>
                <c:pt idx="9">
                  <c:v>Ce</c:v>
                </c:pt>
                <c:pt idx="10">
                  <c:v>Pb</c:v>
                </c:pt>
                <c:pt idx="11">
                  <c:v>Sr</c:v>
                </c:pt>
                <c:pt idx="12">
                  <c:v>P</c:v>
                </c:pt>
                <c:pt idx="13">
                  <c:v>Nd</c:v>
                </c:pt>
                <c:pt idx="14">
                  <c:v>Sm</c:v>
                </c:pt>
                <c:pt idx="15">
                  <c:v>Zr</c:v>
                </c:pt>
                <c:pt idx="16">
                  <c:v>Hf</c:v>
                </c:pt>
                <c:pt idx="17">
                  <c:v>Eu</c:v>
                </c:pt>
                <c:pt idx="18">
                  <c:v>Ti</c:v>
                </c:pt>
                <c:pt idx="19">
                  <c:v>Tb</c:v>
                </c:pt>
                <c:pt idx="20">
                  <c:v>Y</c:v>
                </c:pt>
                <c:pt idx="21">
                  <c:v>Yb</c:v>
                </c:pt>
                <c:pt idx="22">
                  <c:v>Lu</c:v>
                </c:pt>
              </c:strCache>
            </c:strRef>
          </c:cat>
          <c:val>
            <c:numRef>
              <c:f>'All &gt;6%MgO'!$CM$3:$CM$25</c:f>
              <c:numCache>
                <c:formatCode>General</c:formatCode>
                <c:ptCount val="23"/>
                <c:pt idx="0">
                  <c:v>24.050632911392402</c:v>
                </c:pt>
                <c:pt idx="1">
                  <c:v>15.748031496062993</c:v>
                </c:pt>
                <c:pt idx="2">
                  <c:v>20.460723994849047</c:v>
                </c:pt>
                <c:pt idx="3">
                  <c:v>12.588235294117647</c:v>
                </c:pt>
                <c:pt idx="4">
                  <c:v>14.285714285714285</c:v>
                </c:pt>
                <c:pt idx="5">
                  <c:v>11.640953716690044</c:v>
                </c:pt>
                <c:pt idx="6">
                  <c:v>9.0243902439024382</c:v>
                </c:pt>
                <c:pt idx="7">
                  <c:v>15.666666666666666</c:v>
                </c:pt>
                <c:pt idx="8">
                  <c:v>14.701601164483259</c:v>
                </c:pt>
                <c:pt idx="9">
                  <c:v>12.563380281690142</c:v>
                </c:pt>
                <c:pt idx="10">
                  <c:v>28.169014084507044</c:v>
                </c:pt>
                <c:pt idx="11">
                  <c:v>12.606635071090047</c:v>
                </c:pt>
                <c:pt idx="12">
                  <c:v>10.550458715596331</c:v>
                </c:pt>
                <c:pt idx="13">
                  <c:v>11.152141802067947</c:v>
                </c:pt>
                <c:pt idx="14">
                  <c:v>10.878378378378379</c:v>
                </c:pt>
                <c:pt idx="15">
                  <c:v>10.625</c:v>
                </c:pt>
                <c:pt idx="16">
                  <c:v>9.7087378640776691</c:v>
                </c:pt>
                <c:pt idx="17">
                  <c:v>10.059523809523808</c:v>
                </c:pt>
                <c:pt idx="18">
                  <c:v>7.7490774907749076</c:v>
                </c:pt>
                <c:pt idx="19">
                  <c:v>9.0740740740740744</c:v>
                </c:pt>
                <c:pt idx="20">
                  <c:v>7.0329670329670328</c:v>
                </c:pt>
                <c:pt idx="21">
                  <c:v>6.0243407707910759</c:v>
                </c:pt>
                <c:pt idx="22">
                  <c:v>6.3513513513513509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C7-9A46-8335-769DDA5AD82A}"/>
            </c:ext>
          </c:extLst>
        </c:ser>
        <c:ser>
          <c:idx val="1"/>
          <c:order val="1"/>
          <c:tx>
            <c:v>Columbia River  Basalt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'All &gt;6%MgO'!$CR$3:$CR$25</c:f>
              <c:numCache>
                <c:formatCode>General</c:formatCode>
                <c:ptCount val="23"/>
                <c:pt idx="0">
                  <c:v>51.898734177215182</c:v>
                </c:pt>
                <c:pt idx="1">
                  <c:v>45.669291338582674</c:v>
                </c:pt>
                <c:pt idx="2">
                  <c:v>61.239089998569185</c:v>
                </c:pt>
                <c:pt idx="3">
                  <c:v>32.588235294117645</c:v>
                </c:pt>
                <c:pt idx="4">
                  <c:v>42.857142857142854</c:v>
                </c:pt>
                <c:pt idx="5">
                  <c:v>25.245441795231418</c:v>
                </c:pt>
                <c:pt idx="6">
                  <c:v>18.536585365853657</c:v>
                </c:pt>
                <c:pt idx="7">
                  <c:v>41.666666666666671</c:v>
                </c:pt>
                <c:pt idx="8">
                  <c:v>33.478893740902471</c:v>
                </c:pt>
                <c:pt idx="9">
                  <c:v>28.056338028169012</c:v>
                </c:pt>
                <c:pt idx="10">
                  <c:v>73.239436619718319</c:v>
                </c:pt>
                <c:pt idx="11">
                  <c:v>12.748815165876776</c:v>
                </c:pt>
                <c:pt idx="12">
                  <c:v>19.724770642201836</c:v>
                </c:pt>
                <c:pt idx="13">
                  <c:v>22.451994091580499</c:v>
                </c:pt>
                <c:pt idx="14">
                  <c:v>19.324324324324323</c:v>
                </c:pt>
                <c:pt idx="15">
                  <c:v>20.357142857142858</c:v>
                </c:pt>
                <c:pt idx="16">
                  <c:v>33.656957928802591</c:v>
                </c:pt>
                <c:pt idx="17">
                  <c:v>15.297619047619046</c:v>
                </c:pt>
                <c:pt idx="18">
                  <c:v>13.745387453874539</c:v>
                </c:pt>
                <c:pt idx="19">
                  <c:v>14.62962962962963</c:v>
                </c:pt>
                <c:pt idx="20">
                  <c:v>10.989010989010989</c:v>
                </c:pt>
                <c:pt idx="21">
                  <c:v>9.2697768762677484</c:v>
                </c:pt>
                <c:pt idx="22">
                  <c:v>9.7297297297297298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C7-9A46-8335-769DDA5AD82A}"/>
            </c:ext>
          </c:extLst>
        </c:ser>
        <c:ser>
          <c:idx val="2"/>
          <c:order val="2"/>
          <c:tx>
            <c:v>Cascades Range Basalt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'All &gt;6%MgO'!$FH$3:$FH$25</c:f>
              <c:numCache>
                <c:formatCode>General</c:formatCode>
                <c:ptCount val="23"/>
                <c:pt idx="0">
                  <c:v>37.974683544303794</c:v>
                </c:pt>
                <c:pt idx="1">
                  <c:v>18.897637795275589</c:v>
                </c:pt>
                <c:pt idx="2">
                  <c:v>58.663614250965807</c:v>
                </c:pt>
                <c:pt idx="3">
                  <c:v>17.647058823529409</c:v>
                </c:pt>
                <c:pt idx="4">
                  <c:v>19.047619047619047</c:v>
                </c:pt>
                <c:pt idx="5">
                  <c:v>12.622720897615709</c:v>
                </c:pt>
                <c:pt idx="6">
                  <c:v>14.878048780487804</c:v>
                </c:pt>
                <c:pt idx="7">
                  <c:v>28.333333333333332</c:v>
                </c:pt>
                <c:pt idx="8">
                  <c:v>20.087336244541483</c:v>
                </c:pt>
                <c:pt idx="9">
                  <c:v>16.338028169014084</c:v>
                </c:pt>
                <c:pt idx="11">
                  <c:v>22.843601895734597</c:v>
                </c:pt>
                <c:pt idx="12">
                  <c:v>14.678899082568808</c:v>
                </c:pt>
                <c:pt idx="13">
                  <c:v>11.816838995568684</c:v>
                </c:pt>
                <c:pt idx="14">
                  <c:v>8.5585585585585573</c:v>
                </c:pt>
                <c:pt idx="15">
                  <c:v>12.321428571428573</c:v>
                </c:pt>
                <c:pt idx="16">
                  <c:v>8.4142394822006477</c:v>
                </c:pt>
                <c:pt idx="17">
                  <c:v>6.7261904761904754</c:v>
                </c:pt>
                <c:pt idx="18">
                  <c:v>5.2121771217712176</c:v>
                </c:pt>
                <c:pt idx="19">
                  <c:v>3.9814814814814814</c:v>
                </c:pt>
                <c:pt idx="20">
                  <c:v>5.0549450549450547</c:v>
                </c:pt>
                <c:pt idx="21">
                  <c:v>3.6511156186612577</c:v>
                </c:pt>
                <c:pt idx="22">
                  <c:v>3.6486486486486491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C7-9A46-8335-769DDA5AD82A}"/>
            </c:ext>
          </c:extLst>
        </c:ser>
        <c:ser>
          <c:idx val="3"/>
          <c:order val="3"/>
          <c:tx>
            <c:v>OIB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'All &gt;6%MgO'!$D$3:$D$25</c:f>
              <c:numCache>
                <c:formatCode>0.00</c:formatCode>
                <c:ptCount val="23"/>
                <c:pt idx="0">
                  <c:v>48.987341772151893</c:v>
                </c:pt>
                <c:pt idx="1">
                  <c:v>48.818897637795274</c:v>
                </c:pt>
                <c:pt idx="2">
                  <c:v>50.07869509228788</c:v>
                </c:pt>
                <c:pt idx="3">
                  <c:v>47.058823529411761</c:v>
                </c:pt>
                <c:pt idx="4">
                  <c:v>48.571428571428569</c:v>
                </c:pt>
                <c:pt idx="5">
                  <c:v>67.32117812061712</c:v>
                </c:pt>
                <c:pt idx="6">
                  <c:v>65.853658536585371</c:v>
                </c:pt>
                <c:pt idx="7">
                  <c:v>48.166666666666671</c:v>
                </c:pt>
                <c:pt idx="8">
                  <c:v>53.857350800582239</c:v>
                </c:pt>
                <c:pt idx="9">
                  <c:v>45.070422535211272</c:v>
                </c:pt>
                <c:pt idx="10">
                  <c:v>45.070422535211272</c:v>
                </c:pt>
                <c:pt idx="11">
                  <c:v>31.279620853080566</c:v>
                </c:pt>
                <c:pt idx="12">
                  <c:v>28.394495412844037</c:v>
                </c:pt>
                <c:pt idx="13">
                  <c:v>28.434268833087149</c:v>
                </c:pt>
                <c:pt idx="14">
                  <c:v>22.522522522522522</c:v>
                </c:pt>
                <c:pt idx="15">
                  <c:v>25</c:v>
                </c:pt>
                <c:pt idx="16">
                  <c:v>25.242718446601941</c:v>
                </c:pt>
                <c:pt idx="17">
                  <c:v>17.857142857142858</c:v>
                </c:pt>
                <c:pt idx="18">
                  <c:v>13.238007380073801</c:v>
                </c:pt>
                <c:pt idx="19">
                  <c:v>9.7222222222222232</c:v>
                </c:pt>
                <c:pt idx="20">
                  <c:v>6.3736263736263741</c:v>
                </c:pt>
                <c:pt idx="21">
                  <c:v>4.3813387423935097</c:v>
                </c:pt>
                <c:pt idx="22">
                  <c:v>4.0540540540540544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C7-9A46-8335-769DDA5AD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965808"/>
        <c:axId val="530862880"/>
      </c:lineChart>
      <c:catAx>
        <c:axId val="55196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862880"/>
        <c:crossesAt val="1"/>
        <c:auto val="1"/>
        <c:lblAlgn val="ctr"/>
        <c:lblOffset val="100"/>
        <c:noMultiLvlLbl val="0"/>
      </c:catAx>
      <c:valAx>
        <c:axId val="530862880"/>
        <c:scaling>
          <c:logBase val="10"/>
          <c:orientation val="minMax"/>
          <c:max val="1000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Rock/Primitive Mantl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965808"/>
        <c:crosses val="autoZero"/>
        <c:crossBetween val="between"/>
        <c:min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883027913185483"/>
          <c:y val="5.2082239720034992E-2"/>
          <c:w val="0.27116982749571361"/>
          <c:h val="0.31155702189551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81714785651793"/>
          <c:y val="0.17171296296296296"/>
          <c:w val="0.82137685914260727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v>OIB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'All &gt;6%MgO'!$A$3:$A$25</c:f>
              <c:strCache>
                <c:ptCount val="23"/>
                <c:pt idx="0">
                  <c:v>Cs</c:v>
                </c:pt>
                <c:pt idx="1">
                  <c:v>Rb</c:v>
                </c:pt>
                <c:pt idx="2">
                  <c:v>Ba</c:v>
                </c:pt>
                <c:pt idx="3">
                  <c:v>Th</c:v>
                </c:pt>
                <c:pt idx="4">
                  <c:v>U</c:v>
                </c:pt>
                <c:pt idx="5">
                  <c:v>Nb</c:v>
                </c:pt>
                <c:pt idx="6">
                  <c:v>Ta</c:v>
                </c:pt>
                <c:pt idx="7">
                  <c:v>K</c:v>
                </c:pt>
                <c:pt idx="8">
                  <c:v>La</c:v>
                </c:pt>
                <c:pt idx="9">
                  <c:v>Ce</c:v>
                </c:pt>
                <c:pt idx="10">
                  <c:v>Pb</c:v>
                </c:pt>
                <c:pt idx="11">
                  <c:v>Sr</c:v>
                </c:pt>
                <c:pt idx="12">
                  <c:v>P</c:v>
                </c:pt>
                <c:pt idx="13">
                  <c:v>Nd</c:v>
                </c:pt>
                <c:pt idx="14">
                  <c:v>Sm</c:v>
                </c:pt>
                <c:pt idx="15">
                  <c:v>Zr</c:v>
                </c:pt>
                <c:pt idx="16">
                  <c:v>Hf</c:v>
                </c:pt>
                <c:pt idx="17">
                  <c:v>Eu</c:v>
                </c:pt>
                <c:pt idx="18">
                  <c:v>Ti</c:v>
                </c:pt>
                <c:pt idx="19">
                  <c:v>Tb</c:v>
                </c:pt>
                <c:pt idx="20">
                  <c:v>Y</c:v>
                </c:pt>
                <c:pt idx="21">
                  <c:v>Yb</c:v>
                </c:pt>
                <c:pt idx="22">
                  <c:v>Lu</c:v>
                </c:pt>
              </c:strCache>
            </c:strRef>
          </c:cat>
          <c:val>
            <c:numRef>
              <c:f>'All &gt;6%MgO'!$D$3:$D$25</c:f>
              <c:numCache>
                <c:formatCode>0.00</c:formatCode>
                <c:ptCount val="23"/>
                <c:pt idx="0">
                  <c:v>48.987341772151893</c:v>
                </c:pt>
                <c:pt idx="1">
                  <c:v>48.818897637795274</c:v>
                </c:pt>
                <c:pt idx="2">
                  <c:v>50.07869509228788</c:v>
                </c:pt>
                <c:pt idx="3">
                  <c:v>47.058823529411761</c:v>
                </c:pt>
                <c:pt idx="4">
                  <c:v>48.571428571428569</c:v>
                </c:pt>
                <c:pt idx="5">
                  <c:v>67.32117812061712</c:v>
                </c:pt>
                <c:pt idx="6">
                  <c:v>65.853658536585371</c:v>
                </c:pt>
                <c:pt idx="7">
                  <c:v>48.166666666666671</c:v>
                </c:pt>
                <c:pt idx="8">
                  <c:v>53.857350800582239</c:v>
                </c:pt>
                <c:pt idx="9">
                  <c:v>45.070422535211272</c:v>
                </c:pt>
                <c:pt idx="10">
                  <c:v>45.070422535211272</c:v>
                </c:pt>
                <c:pt idx="11">
                  <c:v>31.279620853080566</c:v>
                </c:pt>
                <c:pt idx="12">
                  <c:v>28.394495412844037</c:v>
                </c:pt>
                <c:pt idx="13">
                  <c:v>28.434268833087149</c:v>
                </c:pt>
                <c:pt idx="14">
                  <c:v>22.522522522522522</c:v>
                </c:pt>
                <c:pt idx="15">
                  <c:v>25</c:v>
                </c:pt>
                <c:pt idx="16">
                  <c:v>25.242718446601941</c:v>
                </c:pt>
                <c:pt idx="17">
                  <c:v>17.857142857142858</c:v>
                </c:pt>
                <c:pt idx="18">
                  <c:v>13.238007380073801</c:v>
                </c:pt>
                <c:pt idx="19">
                  <c:v>9.7222222222222232</c:v>
                </c:pt>
                <c:pt idx="20">
                  <c:v>6.3736263736263741</c:v>
                </c:pt>
                <c:pt idx="21">
                  <c:v>4.3813387423935097</c:v>
                </c:pt>
                <c:pt idx="22">
                  <c:v>4.0540540540540544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C3-5243-A4F8-1903E9C41301}"/>
            </c:ext>
          </c:extLst>
        </c:ser>
        <c:ser>
          <c:idx val="1"/>
          <c:order val="1"/>
          <c:tx>
            <c:v>AB2DB-2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'All &gt;6%MgO'!$A$3:$A$25</c:f>
              <c:strCache>
                <c:ptCount val="23"/>
                <c:pt idx="0">
                  <c:v>Cs</c:v>
                </c:pt>
                <c:pt idx="1">
                  <c:v>Rb</c:v>
                </c:pt>
                <c:pt idx="2">
                  <c:v>Ba</c:v>
                </c:pt>
                <c:pt idx="3">
                  <c:v>Th</c:v>
                </c:pt>
                <c:pt idx="4">
                  <c:v>U</c:v>
                </c:pt>
                <c:pt idx="5">
                  <c:v>Nb</c:v>
                </c:pt>
                <c:pt idx="6">
                  <c:v>Ta</c:v>
                </c:pt>
                <c:pt idx="7">
                  <c:v>K</c:v>
                </c:pt>
                <c:pt idx="8">
                  <c:v>La</c:v>
                </c:pt>
                <c:pt idx="9">
                  <c:v>Ce</c:v>
                </c:pt>
                <c:pt idx="10">
                  <c:v>Pb</c:v>
                </c:pt>
                <c:pt idx="11">
                  <c:v>Sr</c:v>
                </c:pt>
                <c:pt idx="12">
                  <c:v>P</c:v>
                </c:pt>
                <c:pt idx="13">
                  <c:v>Nd</c:v>
                </c:pt>
                <c:pt idx="14">
                  <c:v>Sm</c:v>
                </c:pt>
                <c:pt idx="15">
                  <c:v>Zr</c:v>
                </c:pt>
                <c:pt idx="16">
                  <c:v>Hf</c:v>
                </c:pt>
                <c:pt idx="17">
                  <c:v>Eu</c:v>
                </c:pt>
                <c:pt idx="18">
                  <c:v>Ti</c:v>
                </c:pt>
                <c:pt idx="19">
                  <c:v>Tb</c:v>
                </c:pt>
                <c:pt idx="20">
                  <c:v>Y</c:v>
                </c:pt>
                <c:pt idx="21">
                  <c:v>Yb</c:v>
                </c:pt>
                <c:pt idx="22">
                  <c:v>Lu</c:v>
                </c:pt>
              </c:strCache>
            </c:strRef>
          </c:cat>
          <c:val>
            <c:numRef>
              <c:f>'All &gt;6%MgO'!$CM$3:$CM$25</c:f>
              <c:numCache>
                <c:formatCode>General</c:formatCode>
                <c:ptCount val="23"/>
                <c:pt idx="0">
                  <c:v>24.050632911392402</c:v>
                </c:pt>
                <c:pt idx="1">
                  <c:v>15.748031496062993</c:v>
                </c:pt>
                <c:pt idx="2">
                  <c:v>20.460723994849047</c:v>
                </c:pt>
                <c:pt idx="3">
                  <c:v>12.588235294117647</c:v>
                </c:pt>
                <c:pt idx="4">
                  <c:v>14.285714285714285</c:v>
                </c:pt>
                <c:pt idx="5">
                  <c:v>11.640953716690044</c:v>
                </c:pt>
                <c:pt idx="6">
                  <c:v>9.0243902439024382</c:v>
                </c:pt>
                <c:pt idx="7">
                  <c:v>15.666666666666666</c:v>
                </c:pt>
                <c:pt idx="8">
                  <c:v>14.701601164483259</c:v>
                </c:pt>
                <c:pt idx="9">
                  <c:v>12.563380281690142</c:v>
                </c:pt>
                <c:pt idx="10">
                  <c:v>28.169014084507044</c:v>
                </c:pt>
                <c:pt idx="11">
                  <c:v>12.606635071090047</c:v>
                </c:pt>
                <c:pt idx="12">
                  <c:v>10.550458715596331</c:v>
                </c:pt>
                <c:pt idx="13">
                  <c:v>11.152141802067947</c:v>
                </c:pt>
                <c:pt idx="14">
                  <c:v>10.878378378378379</c:v>
                </c:pt>
                <c:pt idx="15">
                  <c:v>10.625</c:v>
                </c:pt>
                <c:pt idx="16">
                  <c:v>9.7087378640776691</c:v>
                </c:pt>
                <c:pt idx="17">
                  <c:v>10.059523809523808</c:v>
                </c:pt>
                <c:pt idx="18">
                  <c:v>7.7490774907749076</c:v>
                </c:pt>
                <c:pt idx="19">
                  <c:v>9.0740740740740744</c:v>
                </c:pt>
                <c:pt idx="20">
                  <c:v>7.0329670329670328</c:v>
                </c:pt>
                <c:pt idx="21">
                  <c:v>6.0243407707910759</c:v>
                </c:pt>
                <c:pt idx="22">
                  <c:v>6.3513513513513509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C3-5243-A4F8-1903E9C41301}"/>
            </c:ext>
          </c:extLst>
        </c:ser>
        <c:ser>
          <c:idx val="2"/>
          <c:order val="2"/>
          <c:tx>
            <c:v>MORB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'All &gt;6%MgO'!$FT$3:$FT$25</c:f>
              <c:numCache>
                <c:formatCode>General</c:formatCode>
                <c:ptCount val="23"/>
                <c:pt idx="0">
                  <c:v>0.88607594936708856</c:v>
                </c:pt>
                <c:pt idx="1">
                  <c:v>0.88188976377952766</c:v>
                </c:pt>
                <c:pt idx="2">
                  <c:v>0.90141651166118186</c:v>
                </c:pt>
                <c:pt idx="3">
                  <c:v>1.4117647058823528</c:v>
                </c:pt>
                <c:pt idx="4">
                  <c:v>2.2380952380952381</c:v>
                </c:pt>
                <c:pt idx="5">
                  <c:v>3.2678821879382891</c:v>
                </c:pt>
                <c:pt idx="6">
                  <c:v>3.2195121951219514</c:v>
                </c:pt>
                <c:pt idx="8">
                  <c:v>3.6390101892285296</c:v>
                </c:pt>
                <c:pt idx="9">
                  <c:v>4.2253521126760569</c:v>
                </c:pt>
                <c:pt idx="10">
                  <c:v>4.2253521126760569</c:v>
                </c:pt>
                <c:pt idx="11">
                  <c:v>4.2654028436018958</c:v>
                </c:pt>
                <c:pt idx="13">
                  <c:v>5.3914327917282119</c:v>
                </c:pt>
                <c:pt idx="14">
                  <c:v>5.9234234234234231</c:v>
                </c:pt>
                <c:pt idx="15">
                  <c:v>6.6071428571428577</c:v>
                </c:pt>
                <c:pt idx="16">
                  <c:v>6.6343042071197402</c:v>
                </c:pt>
                <c:pt idx="17">
                  <c:v>6.0714285714285712</c:v>
                </c:pt>
                <c:pt idx="19">
                  <c:v>6.2037037037037042</c:v>
                </c:pt>
                <c:pt idx="20">
                  <c:v>6.1538461538461542</c:v>
                </c:pt>
                <c:pt idx="21">
                  <c:v>6.186612576064908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C3-5243-A4F8-1903E9C41301}"/>
            </c:ext>
          </c:extLst>
        </c:ser>
        <c:ser>
          <c:idx val="3"/>
          <c:order val="3"/>
          <c:tx>
            <c:v>RC1BUK-16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'All &gt;6%MgO'!$CS$3:$CS$25</c:f>
              <c:numCache>
                <c:formatCode>General</c:formatCode>
                <c:ptCount val="23"/>
                <c:pt idx="1">
                  <c:v>44.094488188976378</c:v>
                </c:pt>
                <c:pt idx="2">
                  <c:v>61.239089998569185</c:v>
                </c:pt>
                <c:pt idx="3">
                  <c:v>35.294117647058819</c:v>
                </c:pt>
                <c:pt idx="4">
                  <c:v>47.619047619047613</c:v>
                </c:pt>
                <c:pt idx="5">
                  <c:v>29.733520336605892</c:v>
                </c:pt>
                <c:pt idx="6">
                  <c:v>20.487804878048777</c:v>
                </c:pt>
                <c:pt idx="7">
                  <c:v>37.666666666666664</c:v>
                </c:pt>
                <c:pt idx="8">
                  <c:v>36.826783114992722</c:v>
                </c:pt>
                <c:pt idx="9">
                  <c:v>30.591549295774648</c:v>
                </c:pt>
                <c:pt idx="10">
                  <c:v>77.464788732394368</c:v>
                </c:pt>
                <c:pt idx="11">
                  <c:v>16.492890995260662</c:v>
                </c:pt>
                <c:pt idx="12">
                  <c:v>21.100917431192663</c:v>
                </c:pt>
                <c:pt idx="13">
                  <c:v>23.85524372230428</c:v>
                </c:pt>
                <c:pt idx="14">
                  <c:v>19.684684684684687</c:v>
                </c:pt>
                <c:pt idx="15">
                  <c:v>20.267857142857146</c:v>
                </c:pt>
                <c:pt idx="16">
                  <c:v>8.4142394822006477</c:v>
                </c:pt>
                <c:pt idx="17">
                  <c:v>15.654761904761903</c:v>
                </c:pt>
                <c:pt idx="18">
                  <c:v>13.422509225092252</c:v>
                </c:pt>
                <c:pt idx="19">
                  <c:v>13.425925925925926</c:v>
                </c:pt>
                <c:pt idx="20">
                  <c:v>9.4505494505494507</c:v>
                </c:pt>
                <c:pt idx="21">
                  <c:v>7.4036511156186613</c:v>
                </c:pt>
                <c:pt idx="22">
                  <c:v>7.5675675675675684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C3-5243-A4F8-1903E9C41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0480576"/>
        <c:axId val="424744288"/>
      </c:lineChart>
      <c:catAx>
        <c:axId val="55048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744288"/>
        <c:crossesAt val="0.1"/>
        <c:auto val="1"/>
        <c:lblAlgn val="ctr"/>
        <c:lblOffset val="100"/>
        <c:noMultiLvlLbl val="0"/>
      </c:catAx>
      <c:valAx>
        <c:axId val="424744288"/>
        <c:scaling>
          <c:logBase val="10"/>
          <c:orientation val="minMax"/>
          <c:max val="100"/>
          <c:min val="0.1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480576"/>
        <c:crosses val="autoZero"/>
        <c:crossBetween val="between"/>
        <c:minorUnit val="10"/>
      </c:valAx>
      <c:spPr>
        <a:noFill/>
        <a:ln>
          <a:noFill/>
        </a:ln>
        <a:effectLst/>
      </c:spPr>
    </c:plotArea>
    <c:legend>
      <c:legendPos val="r"/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52259887274249772"/>
          <c:y val="0.53925695198087764"/>
          <c:w val="0.39932984500288582"/>
          <c:h val="0.296190041444672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81714785651793"/>
          <c:y val="0.17171296296296296"/>
          <c:w val="0.82137685914260727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v>OIB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'All &gt;6%MgO'!$A$3:$A$25</c:f>
              <c:strCache>
                <c:ptCount val="23"/>
                <c:pt idx="0">
                  <c:v>Cs</c:v>
                </c:pt>
                <c:pt idx="1">
                  <c:v>Rb</c:v>
                </c:pt>
                <c:pt idx="2">
                  <c:v>Ba</c:v>
                </c:pt>
                <c:pt idx="3">
                  <c:v>Th</c:v>
                </c:pt>
                <c:pt idx="4">
                  <c:v>U</c:v>
                </c:pt>
                <c:pt idx="5">
                  <c:v>Nb</c:v>
                </c:pt>
                <c:pt idx="6">
                  <c:v>Ta</c:v>
                </c:pt>
                <c:pt idx="7">
                  <c:v>K</c:v>
                </c:pt>
                <c:pt idx="8">
                  <c:v>La</c:v>
                </c:pt>
                <c:pt idx="9">
                  <c:v>Ce</c:v>
                </c:pt>
                <c:pt idx="10">
                  <c:v>Pb</c:v>
                </c:pt>
                <c:pt idx="11">
                  <c:v>Sr</c:v>
                </c:pt>
                <c:pt idx="12">
                  <c:v>P</c:v>
                </c:pt>
                <c:pt idx="13">
                  <c:v>Nd</c:v>
                </c:pt>
                <c:pt idx="14">
                  <c:v>Sm</c:v>
                </c:pt>
                <c:pt idx="15">
                  <c:v>Zr</c:v>
                </c:pt>
                <c:pt idx="16">
                  <c:v>Hf</c:v>
                </c:pt>
                <c:pt idx="17">
                  <c:v>Eu</c:v>
                </c:pt>
                <c:pt idx="18">
                  <c:v>Ti</c:v>
                </c:pt>
                <c:pt idx="19">
                  <c:v>Tb</c:v>
                </c:pt>
                <c:pt idx="20">
                  <c:v>Y</c:v>
                </c:pt>
                <c:pt idx="21">
                  <c:v>Yb</c:v>
                </c:pt>
                <c:pt idx="22">
                  <c:v>Lu</c:v>
                </c:pt>
              </c:strCache>
            </c:strRef>
          </c:cat>
          <c:val>
            <c:numRef>
              <c:f>'All &gt;6%MgO'!$D$3:$D$25</c:f>
              <c:numCache>
                <c:formatCode>0.00</c:formatCode>
                <c:ptCount val="23"/>
                <c:pt idx="0">
                  <c:v>48.987341772151893</c:v>
                </c:pt>
                <c:pt idx="1">
                  <c:v>48.818897637795274</c:v>
                </c:pt>
                <c:pt idx="2">
                  <c:v>50.07869509228788</c:v>
                </c:pt>
                <c:pt idx="3">
                  <c:v>47.058823529411761</c:v>
                </c:pt>
                <c:pt idx="4">
                  <c:v>48.571428571428569</c:v>
                </c:pt>
                <c:pt idx="5">
                  <c:v>67.32117812061712</c:v>
                </c:pt>
                <c:pt idx="6">
                  <c:v>65.853658536585371</c:v>
                </c:pt>
                <c:pt idx="7">
                  <c:v>48.166666666666671</c:v>
                </c:pt>
                <c:pt idx="8">
                  <c:v>53.857350800582239</c:v>
                </c:pt>
                <c:pt idx="9">
                  <c:v>45.070422535211272</c:v>
                </c:pt>
                <c:pt idx="10">
                  <c:v>45.070422535211272</c:v>
                </c:pt>
                <c:pt idx="11">
                  <c:v>31.279620853080566</c:v>
                </c:pt>
                <c:pt idx="12">
                  <c:v>28.394495412844037</c:v>
                </c:pt>
                <c:pt idx="13">
                  <c:v>28.434268833087149</c:v>
                </c:pt>
                <c:pt idx="14">
                  <c:v>22.522522522522522</c:v>
                </c:pt>
                <c:pt idx="15">
                  <c:v>25</c:v>
                </c:pt>
                <c:pt idx="16">
                  <c:v>25.242718446601941</c:v>
                </c:pt>
                <c:pt idx="17">
                  <c:v>17.857142857142858</c:v>
                </c:pt>
                <c:pt idx="18">
                  <c:v>13.238007380073801</c:v>
                </c:pt>
                <c:pt idx="19">
                  <c:v>9.7222222222222232</c:v>
                </c:pt>
                <c:pt idx="20">
                  <c:v>6.3736263736263741</c:v>
                </c:pt>
                <c:pt idx="21">
                  <c:v>4.3813387423935097</c:v>
                </c:pt>
                <c:pt idx="22">
                  <c:v>4.0540540540540544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BC-8D4D-B512-32EE1A8E000E}"/>
            </c:ext>
          </c:extLst>
        </c:ser>
        <c:ser>
          <c:idx val="2"/>
          <c:order val="1"/>
          <c:tx>
            <c:v>MORB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'All &gt;6%MgO'!$FT$3:$FT$25</c:f>
              <c:numCache>
                <c:formatCode>General</c:formatCode>
                <c:ptCount val="23"/>
                <c:pt idx="0">
                  <c:v>0.88607594936708856</c:v>
                </c:pt>
                <c:pt idx="1">
                  <c:v>0.88188976377952766</c:v>
                </c:pt>
                <c:pt idx="2">
                  <c:v>0.90141651166118186</c:v>
                </c:pt>
                <c:pt idx="3">
                  <c:v>1.4117647058823528</c:v>
                </c:pt>
                <c:pt idx="4">
                  <c:v>2.2380952380952381</c:v>
                </c:pt>
                <c:pt idx="5">
                  <c:v>3.2678821879382891</c:v>
                </c:pt>
                <c:pt idx="6">
                  <c:v>3.2195121951219514</c:v>
                </c:pt>
                <c:pt idx="8">
                  <c:v>3.6390101892285296</c:v>
                </c:pt>
                <c:pt idx="9">
                  <c:v>4.2253521126760569</c:v>
                </c:pt>
                <c:pt idx="10">
                  <c:v>4.2253521126760569</c:v>
                </c:pt>
                <c:pt idx="11">
                  <c:v>4.2654028436018958</c:v>
                </c:pt>
                <c:pt idx="13">
                  <c:v>5.3914327917282119</c:v>
                </c:pt>
                <c:pt idx="14">
                  <c:v>5.9234234234234231</c:v>
                </c:pt>
                <c:pt idx="15">
                  <c:v>6.6071428571428577</c:v>
                </c:pt>
                <c:pt idx="16">
                  <c:v>6.6343042071197402</c:v>
                </c:pt>
                <c:pt idx="17">
                  <c:v>6.0714285714285712</c:v>
                </c:pt>
                <c:pt idx="19">
                  <c:v>6.2037037037037042</c:v>
                </c:pt>
                <c:pt idx="20">
                  <c:v>6.1538461538461542</c:v>
                </c:pt>
                <c:pt idx="21">
                  <c:v>6.186612576064908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BC-8D4D-B512-32EE1A8E0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0480576"/>
        <c:axId val="424744288"/>
      </c:lineChart>
      <c:catAx>
        <c:axId val="55048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744288"/>
        <c:crossesAt val="0.1"/>
        <c:auto val="1"/>
        <c:lblAlgn val="ctr"/>
        <c:lblOffset val="100"/>
        <c:noMultiLvlLbl val="0"/>
      </c:catAx>
      <c:valAx>
        <c:axId val="424744288"/>
        <c:scaling>
          <c:logBase val="10"/>
          <c:orientation val="minMax"/>
          <c:max val="100"/>
          <c:min val="0.1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480576"/>
        <c:crosses val="autoZero"/>
        <c:crossBetween val="between"/>
        <c:minorUnit val="10"/>
      </c:valAx>
      <c:spPr>
        <a:noFill/>
        <a:ln>
          <a:noFill/>
        </a:ln>
        <a:effectLst/>
      </c:spPr>
    </c:plotArea>
    <c:legend>
      <c:legendPos val="r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52259887274249772"/>
          <c:y val="0.53925695198087764"/>
          <c:w val="0.39932984500288582"/>
          <c:h val="0.296190041444672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OIB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'All &gt;6%MgO'!$A$3:$A$25</c:f>
              <c:strCache>
                <c:ptCount val="23"/>
                <c:pt idx="0">
                  <c:v>Cs</c:v>
                </c:pt>
                <c:pt idx="1">
                  <c:v>Rb</c:v>
                </c:pt>
                <c:pt idx="2">
                  <c:v>Ba</c:v>
                </c:pt>
                <c:pt idx="3">
                  <c:v>Th</c:v>
                </c:pt>
                <c:pt idx="4">
                  <c:v>U</c:v>
                </c:pt>
                <c:pt idx="5">
                  <c:v>Nb</c:v>
                </c:pt>
                <c:pt idx="6">
                  <c:v>Ta</c:v>
                </c:pt>
                <c:pt idx="7">
                  <c:v>K</c:v>
                </c:pt>
                <c:pt idx="8">
                  <c:v>La</c:v>
                </c:pt>
                <c:pt idx="9">
                  <c:v>Ce</c:v>
                </c:pt>
                <c:pt idx="10">
                  <c:v>Pb</c:v>
                </c:pt>
                <c:pt idx="11">
                  <c:v>Sr</c:v>
                </c:pt>
                <c:pt idx="12">
                  <c:v>P</c:v>
                </c:pt>
                <c:pt idx="13">
                  <c:v>Nd</c:v>
                </c:pt>
                <c:pt idx="14">
                  <c:v>Sm</c:v>
                </c:pt>
                <c:pt idx="15">
                  <c:v>Zr</c:v>
                </c:pt>
                <c:pt idx="16">
                  <c:v>Hf</c:v>
                </c:pt>
                <c:pt idx="17">
                  <c:v>Eu</c:v>
                </c:pt>
                <c:pt idx="18">
                  <c:v>Ti</c:v>
                </c:pt>
                <c:pt idx="19">
                  <c:v>Tb</c:v>
                </c:pt>
                <c:pt idx="20">
                  <c:v>Y</c:v>
                </c:pt>
                <c:pt idx="21">
                  <c:v>Yb</c:v>
                </c:pt>
                <c:pt idx="22">
                  <c:v>Lu</c:v>
                </c:pt>
              </c:strCache>
            </c:strRef>
          </c:cat>
          <c:val>
            <c:numRef>
              <c:f>'All &gt;6%MgO'!$D$3:$D$25</c:f>
              <c:numCache>
                <c:formatCode>0.00</c:formatCode>
                <c:ptCount val="23"/>
                <c:pt idx="0">
                  <c:v>48.987341772151893</c:v>
                </c:pt>
                <c:pt idx="1">
                  <c:v>48.818897637795274</c:v>
                </c:pt>
                <c:pt idx="2">
                  <c:v>50.07869509228788</c:v>
                </c:pt>
                <c:pt idx="3">
                  <c:v>47.058823529411761</c:v>
                </c:pt>
                <c:pt idx="4">
                  <c:v>48.571428571428569</c:v>
                </c:pt>
                <c:pt idx="5">
                  <c:v>67.32117812061712</c:v>
                </c:pt>
                <c:pt idx="6">
                  <c:v>65.853658536585371</c:v>
                </c:pt>
                <c:pt idx="7">
                  <c:v>48.166666666666671</c:v>
                </c:pt>
                <c:pt idx="8">
                  <c:v>53.857350800582239</c:v>
                </c:pt>
                <c:pt idx="9">
                  <c:v>45.070422535211272</c:v>
                </c:pt>
                <c:pt idx="10">
                  <c:v>45.070422535211272</c:v>
                </c:pt>
                <c:pt idx="11">
                  <c:v>31.279620853080566</c:v>
                </c:pt>
                <c:pt idx="12">
                  <c:v>28.394495412844037</c:v>
                </c:pt>
                <c:pt idx="13">
                  <c:v>28.434268833087149</c:v>
                </c:pt>
                <c:pt idx="14">
                  <c:v>22.522522522522522</c:v>
                </c:pt>
                <c:pt idx="15">
                  <c:v>25</c:v>
                </c:pt>
                <c:pt idx="16">
                  <c:v>25.242718446601941</c:v>
                </c:pt>
                <c:pt idx="17">
                  <c:v>17.857142857142858</c:v>
                </c:pt>
                <c:pt idx="18">
                  <c:v>13.238007380073801</c:v>
                </c:pt>
                <c:pt idx="19">
                  <c:v>9.7222222222222232</c:v>
                </c:pt>
                <c:pt idx="20">
                  <c:v>6.3736263736263741</c:v>
                </c:pt>
                <c:pt idx="21">
                  <c:v>4.3813387423935097</c:v>
                </c:pt>
                <c:pt idx="22">
                  <c:v>4.0540540540540544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F8-46CC-B820-54B9C563F400}"/>
            </c:ext>
          </c:extLst>
        </c:ser>
        <c:ser>
          <c:idx val="1"/>
          <c:order val="1"/>
          <c:tx>
            <c:v>AB7W-25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'All &gt;6%MgO'!$CQ$3:$CQ$24</c:f>
              <c:numCache>
                <c:formatCode>General</c:formatCode>
                <c:ptCount val="22"/>
                <c:pt idx="0">
                  <c:v>81.012658227848092</c:v>
                </c:pt>
                <c:pt idx="1">
                  <c:v>58.267716535433067</c:v>
                </c:pt>
                <c:pt idx="2">
                  <c:v>58.234368293031906</c:v>
                </c:pt>
                <c:pt idx="3">
                  <c:v>39.529411764705877</c:v>
                </c:pt>
                <c:pt idx="5">
                  <c:v>27.769985974754562</c:v>
                </c:pt>
                <c:pt idx="6">
                  <c:v>58.292682926829272</c:v>
                </c:pt>
                <c:pt idx="7">
                  <c:v>38</c:v>
                </c:pt>
                <c:pt idx="8">
                  <c:v>31.586608442503636</c:v>
                </c:pt>
                <c:pt idx="9">
                  <c:v>27.211267605633804</c:v>
                </c:pt>
                <c:pt idx="10">
                  <c:v>84.507042253521135</c:v>
                </c:pt>
                <c:pt idx="11">
                  <c:v>12.369668246445498</c:v>
                </c:pt>
                <c:pt idx="12">
                  <c:v>20.642201834862387</c:v>
                </c:pt>
                <c:pt idx="13">
                  <c:v>24.150664697193502</c:v>
                </c:pt>
                <c:pt idx="14">
                  <c:v>18.288288288288285</c:v>
                </c:pt>
                <c:pt idx="15">
                  <c:v>19.910714285714288</c:v>
                </c:pt>
                <c:pt idx="16">
                  <c:v>20.064724919093852</c:v>
                </c:pt>
                <c:pt idx="17">
                  <c:v>14.702380952380953</c:v>
                </c:pt>
                <c:pt idx="18">
                  <c:v>13.837638376383765</c:v>
                </c:pt>
                <c:pt idx="19">
                  <c:v>12.037037037037038</c:v>
                </c:pt>
                <c:pt idx="20">
                  <c:v>10.989010989010989</c:v>
                </c:pt>
                <c:pt idx="21">
                  <c:v>9.0060851926977694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F8-46CC-B820-54B9C563F400}"/>
            </c:ext>
          </c:extLst>
        </c:ser>
        <c:ser>
          <c:idx val="2"/>
          <c:order val="2"/>
          <c:tx>
            <c:v>AB4BUK-5+'All &gt;6%MgO'!$CO$3:$CO$25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'All &gt;6%MgO'!$CO$3:$CO$25</c:f>
              <c:numCache>
                <c:formatCode>General</c:formatCode>
                <c:ptCount val="23"/>
                <c:pt idx="1">
                  <c:v>22.047244094488189</c:v>
                </c:pt>
                <c:pt idx="2">
                  <c:v>29.761053083416797</c:v>
                </c:pt>
                <c:pt idx="3">
                  <c:v>22.235294117647054</c:v>
                </c:pt>
                <c:pt idx="5">
                  <c:v>15.147265077138851</c:v>
                </c:pt>
                <c:pt idx="6">
                  <c:v>20.975609756097558</c:v>
                </c:pt>
                <c:pt idx="7">
                  <c:v>18.666666666666668</c:v>
                </c:pt>
                <c:pt idx="8">
                  <c:v>18.486171761280929</c:v>
                </c:pt>
                <c:pt idx="9">
                  <c:v>15.492957746478874</c:v>
                </c:pt>
                <c:pt idx="10">
                  <c:v>84.507042253521135</c:v>
                </c:pt>
                <c:pt idx="11">
                  <c:v>11.137440758293838</c:v>
                </c:pt>
                <c:pt idx="12">
                  <c:v>12.844036697247708</c:v>
                </c:pt>
                <c:pt idx="13">
                  <c:v>14.401772525849335</c:v>
                </c:pt>
                <c:pt idx="14">
                  <c:v>11.441441441441441</c:v>
                </c:pt>
                <c:pt idx="15">
                  <c:v>12.589285714285715</c:v>
                </c:pt>
                <c:pt idx="16">
                  <c:v>12.621359223300971</c:v>
                </c:pt>
                <c:pt idx="17">
                  <c:v>10.178571428571427</c:v>
                </c:pt>
                <c:pt idx="18">
                  <c:v>8.6254612546125475</c:v>
                </c:pt>
                <c:pt idx="20">
                  <c:v>8.3516483516483522</c:v>
                </c:pt>
                <c:pt idx="21">
                  <c:v>6.9776876267748476</c:v>
                </c:pt>
                <c:pt idx="22">
                  <c:v>7.2972972972972983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A0-4F13-87EB-9C409A8C3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4051840"/>
        <c:axId val="1591464256"/>
      </c:lineChart>
      <c:catAx>
        <c:axId val="158405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464256"/>
        <c:crossesAt val="1"/>
        <c:auto val="1"/>
        <c:lblAlgn val="ctr"/>
        <c:lblOffset val="100"/>
        <c:noMultiLvlLbl val="0"/>
      </c:catAx>
      <c:valAx>
        <c:axId val="1591464256"/>
        <c:scaling>
          <c:logBase val="10"/>
          <c:orientation val="minMax"/>
          <c:max val="1000"/>
          <c:min val="1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05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687208143647048E-2"/>
          <c:y val="0.13564814814814818"/>
          <c:w val="0.91356672072318501"/>
          <c:h val="0.70383409605850555"/>
        </c:manualLayout>
      </c:layout>
      <c:lineChart>
        <c:grouping val="standard"/>
        <c:varyColors val="0"/>
        <c:ser>
          <c:idx val="0"/>
          <c:order val="0"/>
          <c:tx>
            <c:v>RC!DB-10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'All &gt;6%MgO'!$A$3:$A$25</c:f>
              <c:strCache>
                <c:ptCount val="23"/>
                <c:pt idx="0">
                  <c:v>Cs</c:v>
                </c:pt>
                <c:pt idx="1">
                  <c:v>Rb</c:v>
                </c:pt>
                <c:pt idx="2">
                  <c:v>Ba</c:v>
                </c:pt>
                <c:pt idx="3">
                  <c:v>Th</c:v>
                </c:pt>
                <c:pt idx="4">
                  <c:v>U</c:v>
                </c:pt>
                <c:pt idx="5">
                  <c:v>Nb</c:v>
                </c:pt>
                <c:pt idx="6">
                  <c:v>Ta</c:v>
                </c:pt>
                <c:pt idx="7">
                  <c:v>K</c:v>
                </c:pt>
                <c:pt idx="8">
                  <c:v>La</c:v>
                </c:pt>
                <c:pt idx="9">
                  <c:v>Ce</c:v>
                </c:pt>
                <c:pt idx="10">
                  <c:v>Pb</c:v>
                </c:pt>
                <c:pt idx="11">
                  <c:v>Sr</c:v>
                </c:pt>
                <c:pt idx="12">
                  <c:v>P</c:v>
                </c:pt>
                <c:pt idx="13">
                  <c:v>Nd</c:v>
                </c:pt>
                <c:pt idx="14">
                  <c:v>Sm</c:v>
                </c:pt>
                <c:pt idx="15">
                  <c:v>Zr</c:v>
                </c:pt>
                <c:pt idx="16">
                  <c:v>Hf</c:v>
                </c:pt>
                <c:pt idx="17">
                  <c:v>Eu</c:v>
                </c:pt>
                <c:pt idx="18">
                  <c:v>Ti</c:v>
                </c:pt>
                <c:pt idx="19">
                  <c:v>Tb</c:v>
                </c:pt>
                <c:pt idx="20">
                  <c:v>Y</c:v>
                </c:pt>
                <c:pt idx="21">
                  <c:v>Yb</c:v>
                </c:pt>
                <c:pt idx="22">
                  <c:v>Lu</c:v>
                </c:pt>
              </c:strCache>
            </c:strRef>
          </c:cat>
          <c:val>
            <c:numRef>
              <c:f>'All &gt;6%MgO'!$CT$3:$CT$25</c:f>
              <c:numCache>
                <c:formatCode>General</c:formatCode>
                <c:ptCount val="23"/>
                <c:pt idx="0">
                  <c:v>81.012658227848092</c:v>
                </c:pt>
                <c:pt idx="1">
                  <c:v>44.094488188976378</c:v>
                </c:pt>
                <c:pt idx="2">
                  <c:v>61.239089998569185</c:v>
                </c:pt>
                <c:pt idx="3">
                  <c:v>35.294117647058819</c:v>
                </c:pt>
                <c:pt idx="4">
                  <c:v>47.619047619047613</c:v>
                </c:pt>
                <c:pt idx="5">
                  <c:v>29.733520336605892</c:v>
                </c:pt>
                <c:pt idx="6">
                  <c:v>20.487804878048777</c:v>
                </c:pt>
                <c:pt idx="7">
                  <c:v>37.666666666666664</c:v>
                </c:pt>
                <c:pt idx="8">
                  <c:v>36.826783114992722</c:v>
                </c:pt>
                <c:pt idx="9">
                  <c:v>30.591549295774648</c:v>
                </c:pt>
                <c:pt idx="10">
                  <c:v>77.464788732394368</c:v>
                </c:pt>
                <c:pt idx="11">
                  <c:v>16.492890995260662</c:v>
                </c:pt>
                <c:pt idx="12">
                  <c:v>21.100917431192663</c:v>
                </c:pt>
                <c:pt idx="13">
                  <c:v>23.85524372230428</c:v>
                </c:pt>
                <c:pt idx="14">
                  <c:v>19.684684684684687</c:v>
                </c:pt>
                <c:pt idx="15">
                  <c:v>20.267857142857146</c:v>
                </c:pt>
                <c:pt idx="16">
                  <c:v>8.4142394822006477</c:v>
                </c:pt>
                <c:pt idx="17">
                  <c:v>15.654761904761903</c:v>
                </c:pt>
                <c:pt idx="18">
                  <c:v>13.422509225092252</c:v>
                </c:pt>
                <c:pt idx="19">
                  <c:v>13.425925925925926</c:v>
                </c:pt>
                <c:pt idx="20">
                  <c:v>9.4505494505494507</c:v>
                </c:pt>
                <c:pt idx="21">
                  <c:v>7.4036511156186613</c:v>
                </c:pt>
                <c:pt idx="22">
                  <c:v>7.5675675675675684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9B-4D78-9591-F9C8F1829E39}"/>
            </c:ext>
          </c:extLst>
        </c:ser>
        <c:ser>
          <c:idx val="1"/>
          <c:order val="1"/>
          <c:tx>
            <c:v>RC3MLC-10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'All &gt;6%MgO'!$A$3:$A$25</c:f>
              <c:strCache>
                <c:ptCount val="23"/>
                <c:pt idx="0">
                  <c:v>Cs</c:v>
                </c:pt>
                <c:pt idx="1">
                  <c:v>Rb</c:v>
                </c:pt>
                <c:pt idx="2">
                  <c:v>Ba</c:v>
                </c:pt>
                <c:pt idx="3">
                  <c:v>Th</c:v>
                </c:pt>
                <c:pt idx="4">
                  <c:v>U</c:v>
                </c:pt>
                <c:pt idx="5">
                  <c:v>Nb</c:v>
                </c:pt>
                <c:pt idx="6">
                  <c:v>Ta</c:v>
                </c:pt>
                <c:pt idx="7">
                  <c:v>K</c:v>
                </c:pt>
                <c:pt idx="8">
                  <c:v>La</c:v>
                </c:pt>
                <c:pt idx="9">
                  <c:v>Ce</c:v>
                </c:pt>
                <c:pt idx="10">
                  <c:v>Pb</c:v>
                </c:pt>
                <c:pt idx="11">
                  <c:v>Sr</c:v>
                </c:pt>
                <c:pt idx="12">
                  <c:v>P</c:v>
                </c:pt>
                <c:pt idx="13">
                  <c:v>Nd</c:v>
                </c:pt>
                <c:pt idx="14">
                  <c:v>Sm</c:v>
                </c:pt>
                <c:pt idx="15">
                  <c:v>Zr</c:v>
                </c:pt>
                <c:pt idx="16">
                  <c:v>Hf</c:v>
                </c:pt>
                <c:pt idx="17">
                  <c:v>Eu</c:v>
                </c:pt>
                <c:pt idx="18">
                  <c:v>Ti</c:v>
                </c:pt>
                <c:pt idx="19">
                  <c:v>Tb</c:v>
                </c:pt>
                <c:pt idx="20">
                  <c:v>Y</c:v>
                </c:pt>
                <c:pt idx="21">
                  <c:v>Yb</c:v>
                </c:pt>
                <c:pt idx="22">
                  <c:v>Lu</c:v>
                </c:pt>
              </c:strCache>
            </c:strRef>
          </c:cat>
          <c:val>
            <c:numRef>
              <c:f>'All &gt;6%MgO'!$CV$3:$CV$25</c:f>
              <c:numCache>
                <c:formatCode>General</c:formatCode>
                <c:ptCount val="23"/>
                <c:pt idx="0">
                  <c:v>46.835443037974677</c:v>
                </c:pt>
                <c:pt idx="1">
                  <c:v>33.070866141732282</c:v>
                </c:pt>
                <c:pt idx="2">
                  <c:v>37.058234368293036</c:v>
                </c:pt>
                <c:pt idx="3">
                  <c:v>18.235294117647058</c:v>
                </c:pt>
                <c:pt idx="4">
                  <c:v>23.809523809523807</c:v>
                </c:pt>
                <c:pt idx="5">
                  <c:v>22.159887798036468</c:v>
                </c:pt>
                <c:pt idx="6">
                  <c:v>19.999999999999996</c:v>
                </c:pt>
                <c:pt idx="7">
                  <c:v>32</c:v>
                </c:pt>
                <c:pt idx="8">
                  <c:v>24.454148471615721</c:v>
                </c:pt>
                <c:pt idx="9">
                  <c:v>21.577464788732392</c:v>
                </c:pt>
                <c:pt idx="10">
                  <c:v>35.211267605633807</c:v>
                </c:pt>
                <c:pt idx="11">
                  <c:v>17.582938388625593</c:v>
                </c:pt>
                <c:pt idx="12">
                  <c:v>15.137614678899084</c:v>
                </c:pt>
                <c:pt idx="13">
                  <c:v>18.168389955686855</c:v>
                </c:pt>
                <c:pt idx="14">
                  <c:v>16.081081081081081</c:v>
                </c:pt>
                <c:pt idx="15">
                  <c:v>16.428571428571431</c:v>
                </c:pt>
                <c:pt idx="16">
                  <c:v>14.886731391585759</c:v>
                </c:pt>
                <c:pt idx="17">
                  <c:v>13.869047619047619</c:v>
                </c:pt>
                <c:pt idx="18">
                  <c:v>12.315498154981549</c:v>
                </c:pt>
                <c:pt idx="19">
                  <c:v>11.296296296296296</c:v>
                </c:pt>
                <c:pt idx="20">
                  <c:v>7.2527472527472527</c:v>
                </c:pt>
                <c:pt idx="21">
                  <c:v>6.3083164300202839</c:v>
                </c:pt>
                <c:pt idx="22">
                  <c:v>6.3513513513513509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9B-4D78-9591-F9C8F1829E39}"/>
            </c:ext>
          </c:extLst>
        </c:ser>
        <c:ser>
          <c:idx val="2"/>
          <c:order val="2"/>
          <c:tx>
            <c:v>OIB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'All &gt;6%MgO'!$D$3:$D$25</c:f>
              <c:numCache>
                <c:formatCode>0.00</c:formatCode>
                <c:ptCount val="23"/>
                <c:pt idx="0">
                  <c:v>48.987341772151893</c:v>
                </c:pt>
                <c:pt idx="1">
                  <c:v>48.818897637795274</c:v>
                </c:pt>
                <c:pt idx="2">
                  <c:v>50.07869509228788</c:v>
                </c:pt>
                <c:pt idx="3">
                  <c:v>47.058823529411761</c:v>
                </c:pt>
                <c:pt idx="4">
                  <c:v>48.571428571428569</c:v>
                </c:pt>
                <c:pt idx="5">
                  <c:v>67.32117812061712</c:v>
                </c:pt>
                <c:pt idx="6">
                  <c:v>65.853658536585371</c:v>
                </c:pt>
                <c:pt idx="7">
                  <c:v>48.166666666666671</c:v>
                </c:pt>
                <c:pt idx="8">
                  <c:v>53.857350800582239</c:v>
                </c:pt>
                <c:pt idx="9">
                  <c:v>45.070422535211272</c:v>
                </c:pt>
                <c:pt idx="10">
                  <c:v>45.070422535211272</c:v>
                </c:pt>
                <c:pt idx="11">
                  <c:v>31.279620853080566</c:v>
                </c:pt>
                <c:pt idx="12">
                  <c:v>28.394495412844037</c:v>
                </c:pt>
                <c:pt idx="13">
                  <c:v>28.434268833087149</c:v>
                </c:pt>
                <c:pt idx="14">
                  <c:v>22.522522522522522</c:v>
                </c:pt>
                <c:pt idx="15">
                  <c:v>25</c:v>
                </c:pt>
                <c:pt idx="16">
                  <c:v>25.242718446601941</c:v>
                </c:pt>
                <c:pt idx="17">
                  <c:v>17.857142857142858</c:v>
                </c:pt>
                <c:pt idx="18">
                  <c:v>13.238007380073801</c:v>
                </c:pt>
                <c:pt idx="19">
                  <c:v>9.7222222222222232</c:v>
                </c:pt>
                <c:pt idx="20">
                  <c:v>6.3736263736263741</c:v>
                </c:pt>
                <c:pt idx="21">
                  <c:v>4.3813387423935097</c:v>
                </c:pt>
                <c:pt idx="22">
                  <c:v>4.0540540540540544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9B-4D78-9591-F9C8F1829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3604752"/>
        <c:axId val="1733608784"/>
      </c:lineChart>
      <c:catAx>
        <c:axId val="173360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608784"/>
        <c:crossesAt val="0.1"/>
        <c:auto val="1"/>
        <c:lblAlgn val="ctr"/>
        <c:lblOffset val="100"/>
        <c:noMultiLvlLbl val="0"/>
      </c:catAx>
      <c:valAx>
        <c:axId val="1733608784"/>
        <c:scaling>
          <c:logBase val="10"/>
          <c:orientation val="minMax"/>
          <c:max val="1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604752"/>
        <c:crosses val="autoZero"/>
        <c:crossBetween val="between"/>
        <c:minorUnit val="1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0716281432562853"/>
          <c:y val="0.19560143123135251"/>
          <c:w val="0.1693799131188006"/>
          <c:h val="0.170495434865513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'All &gt;6%MgO'!$A$3:$A$25</c:f>
              <c:strCache>
                <c:ptCount val="23"/>
                <c:pt idx="0">
                  <c:v>Cs</c:v>
                </c:pt>
                <c:pt idx="1">
                  <c:v>Rb</c:v>
                </c:pt>
                <c:pt idx="2">
                  <c:v>Ba</c:v>
                </c:pt>
                <c:pt idx="3">
                  <c:v>Th</c:v>
                </c:pt>
                <c:pt idx="4">
                  <c:v>U</c:v>
                </c:pt>
                <c:pt idx="5">
                  <c:v>Nb</c:v>
                </c:pt>
                <c:pt idx="6">
                  <c:v>Ta</c:v>
                </c:pt>
                <c:pt idx="7">
                  <c:v>K</c:v>
                </c:pt>
                <c:pt idx="8">
                  <c:v>La</c:v>
                </c:pt>
                <c:pt idx="9">
                  <c:v>Ce</c:v>
                </c:pt>
                <c:pt idx="10">
                  <c:v>Pb</c:v>
                </c:pt>
                <c:pt idx="11">
                  <c:v>Sr</c:v>
                </c:pt>
                <c:pt idx="12">
                  <c:v>P</c:v>
                </c:pt>
                <c:pt idx="13">
                  <c:v>Nd</c:v>
                </c:pt>
                <c:pt idx="14">
                  <c:v>Sm</c:v>
                </c:pt>
                <c:pt idx="15">
                  <c:v>Zr</c:v>
                </c:pt>
                <c:pt idx="16">
                  <c:v>Hf</c:v>
                </c:pt>
                <c:pt idx="17">
                  <c:v>Eu</c:v>
                </c:pt>
                <c:pt idx="18">
                  <c:v>Ti</c:v>
                </c:pt>
                <c:pt idx="19">
                  <c:v>Tb</c:v>
                </c:pt>
                <c:pt idx="20">
                  <c:v>Y</c:v>
                </c:pt>
                <c:pt idx="21">
                  <c:v>Yb</c:v>
                </c:pt>
                <c:pt idx="22">
                  <c:v>Lu</c:v>
                </c:pt>
              </c:strCache>
            </c:strRef>
          </c:cat>
          <c:val>
            <c:numRef>
              <c:f>'All &gt;6%MgO'!$X$3:$X$25</c:f>
              <c:numCache>
                <c:formatCode>General</c:formatCode>
                <c:ptCount val="23"/>
                <c:pt idx="0">
                  <c:v>0.69</c:v>
                </c:pt>
                <c:pt idx="1">
                  <c:v>34</c:v>
                </c:pt>
                <c:pt idx="2">
                  <c:v>503</c:v>
                </c:pt>
                <c:pt idx="3">
                  <c:v>4.57</c:v>
                </c:pt>
                <c:pt idx="4">
                  <c:v>1.5</c:v>
                </c:pt>
                <c:pt idx="5">
                  <c:v>13.7</c:v>
                </c:pt>
                <c:pt idx="6">
                  <c:v>0.99</c:v>
                </c:pt>
                <c:pt idx="7">
                  <c:v>1.32</c:v>
                </c:pt>
                <c:pt idx="8">
                  <c:v>20.8</c:v>
                </c:pt>
                <c:pt idx="9">
                  <c:v>44.3</c:v>
                </c:pt>
                <c:pt idx="10">
                  <c:v>7.5</c:v>
                </c:pt>
                <c:pt idx="11">
                  <c:v>351</c:v>
                </c:pt>
                <c:pt idx="12">
                  <c:v>0.31</c:v>
                </c:pt>
                <c:pt idx="13">
                  <c:v>26.1</c:v>
                </c:pt>
                <c:pt idx="14">
                  <c:v>6.12</c:v>
                </c:pt>
                <c:pt idx="15">
                  <c:v>177</c:v>
                </c:pt>
                <c:pt idx="16">
                  <c:v>5</c:v>
                </c:pt>
                <c:pt idx="17">
                  <c:v>1.92</c:v>
                </c:pt>
                <c:pt idx="18">
                  <c:v>2.11</c:v>
                </c:pt>
                <c:pt idx="19">
                  <c:v>0.98</c:v>
                </c:pt>
                <c:pt idx="20">
                  <c:v>34</c:v>
                </c:pt>
                <c:pt idx="21">
                  <c:v>3.32</c:v>
                </c:pt>
                <c:pt idx="22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39-46A1-9BE8-A7989151436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'All &gt;6%MgO'!$A$3:$A$25</c:f>
              <c:strCache>
                <c:ptCount val="23"/>
                <c:pt idx="0">
                  <c:v>Cs</c:v>
                </c:pt>
                <c:pt idx="1">
                  <c:v>Rb</c:v>
                </c:pt>
                <c:pt idx="2">
                  <c:v>Ba</c:v>
                </c:pt>
                <c:pt idx="3">
                  <c:v>Th</c:v>
                </c:pt>
                <c:pt idx="4">
                  <c:v>U</c:v>
                </c:pt>
                <c:pt idx="5">
                  <c:v>Nb</c:v>
                </c:pt>
                <c:pt idx="6">
                  <c:v>Ta</c:v>
                </c:pt>
                <c:pt idx="7">
                  <c:v>K</c:v>
                </c:pt>
                <c:pt idx="8">
                  <c:v>La</c:v>
                </c:pt>
                <c:pt idx="9">
                  <c:v>Ce</c:v>
                </c:pt>
                <c:pt idx="10">
                  <c:v>Pb</c:v>
                </c:pt>
                <c:pt idx="11">
                  <c:v>Sr</c:v>
                </c:pt>
                <c:pt idx="12">
                  <c:v>P</c:v>
                </c:pt>
                <c:pt idx="13">
                  <c:v>Nd</c:v>
                </c:pt>
                <c:pt idx="14">
                  <c:v>Sm</c:v>
                </c:pt>
                <c:pt idx="15">
                  <c:v>Zr</c:v>
                </c:pt>
                <c:pt idx="16">
                  <c:v>Hf</c:v>
                </c:pt>
                <c:pt idx="17">
                  <c:v>Eu</c:v>
                </c:pt>
                <c:pt idx="18">
                  <c:v>Ti</c:v>
                </c:pt>
                <c:pt idx="19">
                  <c:v>Tb</c:v>
                </c:pt>
                <c:pt idx="20">
                  <c:v>Y</c:v>
                </c:pt>
                <c:pt idx="21">
                  <c:v>Yb</c:v>
                </c:pt>
                <c:pt idx="22">
                  <c:v>Lu</c:v>
                </c:pt>
              </c:strCache>
            </c:strRef>
          </c:cat>
          <c:val>
            <c:numRef>
              <c:f>'All &gt;6%MgO'!$Z$3:$Z$25</c:f>
              <c:numCache>
                <c:formatCode>General</c:formatCode>
                <c:ptCount val="23"/>
                <c:pt idx="0">
                  <c:v>1.2</c:v>
                </c:pt>
                <c:pt idx="1">
                  <c:v>37</c:v>
                </c:pt>
                <c:pt idx="2">
                  <c:v>530</c:v>
                </c:pt>
                <c:pt idx="3">
                  <c:v>4.34</c:v>
                </c:pt>
                <c:pt idx="4">
                  <c:v>1.47</c:v>
                </c:pt>
                <c:pt idx="5">
                  <c:v>13.6</c:v>
                </c:pt>
                <c:pt idx="6">
                  <c:v>1.01</c:v>
                </c:pt>
                <c:pt idx="7">
                  <c:v>1.58</c:v>
                </c:pt>
                <c:pt idx="8">
                  <c:v>21.9</c:v>
                </c:pt>
                <c:pt idx="9">
                  <c:v>45.9</c:v>
                </c:pt>
                <c:pt idx="10">
                  <c:v>7.8</c:v>
                </c:pt>
                <c:pt idx="11">
                  <c:v>309</c:v>
                </c:pt>
                <c:pt idx="12">
                  <c:v>0.33</c:v>
                </c:pt>
                <c:pt idx="13">
                  <c:v>26.6</c:v>
                </c:pt>
                <c:pt idx="14">
                  <c:v>6.51</c:v>
                </c:pt>
                <c:pt idx="15">
                  <c:v>177</c:v>
                </c:pt>
                <c:pt idx="16">
                  <c:v>5</c:v>
                </c:pt>
                <c:pt idx="17">
                  <c:v>1.97</c:v>
                </c:pt>
                <c:pt idx="18">
                  <c:v>2.0499999999999998</c:v>
                </c:pt>
                <c:pt idx="19">
                  <c:v>1.05</c:v>
                </c:pt>
                <c:pt idx="20">
                  <c:v>36</c:v>
                </c:pt>
                <c:pt idx="21">
                  <c:v>3.5</c:v>
                </c:pt>
                <c:pt idx="22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39-46A1-9BE8-A79891514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2191888"/>
        <c:axId val="1814690032"/>
      </c:lineChart>
      <c:catAx>
        <c:axId val="200219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690032"/>
        <c:crossesAt val="0.1"/>
        <c:auto val="1"/>
        <c:lblAlgn val="ctr"/>
        <c:lblOffset val="100"/>
        <c:noMultiLvlLbl val="0"/>
      </c:catAx>
      <c:valAx>
        <c:axId val="1814690032"/>
        <c:scaling>
          <c:logBase val="10"/>
          <c:orientation val="minMax"/>
          <c:max val="1000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19188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'All &gt;6%MgO'!$A$3:$A$25</c:f>
              <c:strCache>
                <c:ptCount val="23"/>
                <c:pt idx="0">
                  <c:v>Cs</c:v>
                </c:pt>
                <c:pt idx="1">
                  <c:v>Rb</c:v>
                </c:pt>
                <c:pt idx="2">
                  <c:v>Ba</c:v>
                </c:pt>
                <c:pt idx="3">
                  <c:v>Th</c:v>
                </c:pt>
                <c:pt idx="4">
                  <c:v>U</c:v>
                </c:pt>
                <c:pt idx="5">
                  <c:v>Nb</c:v>
                </c:pt>
                <c:pt idx="6">
                  <c:v>Ta</c:v>
                </c:pt>
                <c:pt idx="7">
                  <c:v>K</c:v>
                </c:pt>
                <c:pt idx="8">
                  <c:v>La</c:v>
                </c:pt>
                <c:pt idx="9">
                  <c:v>Ce</c:v>
                </c:pt>
                <c:pt idx="10">
                  <c:v>Pb</c:v>
                </c:pt>
                <c:pt idx="11">
                  <c:v>Sr</c:v>
                </c:pt>
                <c:pt idx="12">
                  <c:v>P</c:v>
                </c:pt>
                <c:pt idx="13">
                  <c:v>Nd</c:v>
                </c:pt>
                <c:pt idx="14">
                  <c:v>Sm</c:v>
                </c:pt>
                <c:pt idx="15">
                  <c:v>Zr</c:v>
                </c:pt>
                <c:pt idx="16">
                  <c:v>Hf</c:v>
                </c:pt>
                <c:pt idx="17">
                  <c:v>Eu</c:v>
                </c:pt>
                <c:pt idx="18">
                  <c:v>Ti</c:v>
                </c:pt>
                <c:pt idx="19">
                  <c:v>Tb</c:v>
                </c:pt>
                <c:pt idx="20">
                  <c:v>Y</c:v>
                </c:pt>
                <c:pt idx="21">
                  <c:v>Yb</c:v>
                </c:pt>
                <c:pt idx="22">
                  <c:v>Lu</c:v>
                </c:pt>
              </c:strCache>
            </c:strRef>
          </c:cat>
          <c:val>
            <c:numRef>
              <c:f>'All &gt;6%MgO'!$DG$3:$DG$25</c:f>
              <c:numCache>
                <c:formatCode>General</c:formatCode>
                <c:ptCount val="23"/>
                <c:pt idx="0">
                  <c:v>151.89873417721518</c:v>
                </c:pt>
                <c:pt idx="1">
                  <c:v>58.267716535433067</c:v>
                </c:pt>
                <c:pt idx="2">
                  <c:v>75.833452568321647</c:v>
                </c:pt>
                <c:pt idx="3">
                  <c:v>51.058823529411761</c:v>
                </c:pt>
                <c:pt idx="4">
                  <c:v>70</c:v>
                </c:pt>
                <c:pt idx="5">
                  <c:v>19.074333800841515</c:v>
                </c:pt>
                <c:pt idx="6">
                  <c:v>24.634146341463413</c:v>
                </c:pt>
                <c:pt idx="7">
                  <c:v>52.666666666666671</c:v>
                </c:pt>
                <c:pt idx="8">
                  <c:v>31.877729257641917</c:v>
                </c:pt>
                <c:pt idx="9">
                  <c:v>25.859154929577464</c:v>
                </c:pt>
                <c:pt idx="10">
                  <c:v>109.85915492957747</c:v>
                </c:pt>
                <c:pt idx="11">
                  <c:v>14.644549763033174</c:v>
                </c:pt>
                <c:pt idx="12">
                  <c:v>15.137614678899084</c:v>
                </c:pt>
                <c:pt idx="13">
                  <c:v>19.64549483013294</c:v>
                </c:pt>
                <c:pt idx="14">
                  <c:v>14.662162162162161</c:v>
                </c:pt>
                <c:pt idx="15">
                  <c:v>15.803571428571429</c:v>
                </c:pt>
                <c:pt idx="16">
                  <c:v>16.181229773462782</c:v>
                </c:pt>
                <c:pt idx="17">
                  <c:v>11.726190476190474</c:v>
                </c:pt>
                <c:pt idx="18">
                  <c:v>9.4557195571955717</c:v>
                </c:pt>
                <c:pt idx="19">
                  <c:v>9.7222222222222232</c:v>
                </c:pt>
                <c:pt idx="20">
                  <c:v>7.9120879120879124</c:v>
                </c:pt>
                <c:pt idx="21">
                  <c:v>7.0993914807302234</c:v>
                </c:pt>
                <c:pt idx="22">
                  <c:v>7.4324324324324333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1B-484C-8D94-13992218A6E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'All &gt;6%MgO'!$A$3:$A$25</c:f>
              <c:strCache>
                <c:ptCount val="23"/>
                <c:pt idx="0">
                  <c:v>Cs</c:v>
                </c:pt>
                <c:pt idx="1">
                  <c:v>Rb</c:v>
                </c:pt>
                <c:pt idx="2">
                  <c:v>Ba</c:v>
                </c:pt>
                <c:pt idx="3">
                  <c:v>Th</c:v>
                </c:pt>
                <c:pt idx="4">
                  <c:v>U</c:v>
                </c:pt>
                <c:pt idx="5">
                  <c:v>Nb</c:v>
                </c:pt>
                <c:pt idx="6">
                  <c:v>Ta</c:v>
                </c:pt>
                <c:pt idx="7">
                  <c:v>K</c:v>
                </c:pt>
                <c:pt idx="8">
                  <c:v>La</c:v>
                </c:pt>
                <c:pt idx="9">
                  <c:v>Ce</c:v>
                </c:pt>
                <c:pt idx="10">
                  <c:v>Pb</c:v>
                </c:pt>
                <c:pt idx="11">
                  <c:v>Sr</c:v>
                </c:pt>
                <c:pt idx="12">
                  <c:v>P</c:v>
                </c:pt>
                <c:pt idx="13">
                  <c:v>Nd</c:v>
                </c:pt>
                <c:pt idx="14">
                  <c:v>Sm</c:v>
                </c:pt>
                <c:pt idx="15">
                  <c:v>Zr</c:v>
                </c:pt>
                <c:pt idx="16">
                  <c:v>Hf</c:v>
                </c:pt>
                <c:pt idx="17">
                  <c:v>Eu</c:v>
                </c:pt>
                <c:pt idx="18">
                  <c:v>Ti</c:v>
                </c:pt>
                <c:pt idx="19">
                  <c:v>Tb</c:v>
                </c:pt>
                <c:pt idx="20">
                  <c:v>Y</c:v>
                </c:pt>
                <c:pt idx="21">
                  <c:v>Yb</c:v>
                </c:pt>
                <c:pt idx="22">
                  <c:v>Lu</c:v>
                </c:pt>
              </c:strCache>
            </c:strRef>
          </c:cat>
          <c:val>
            <c:numRef>
              <c:f>'All &gt;6%MgO'!$DP$3:$DP$25</c:f>
              <c:numCache>
                <c:formatCode>General</c:formatCode>
                <c:ptCount val="23"/>
                <c:pt idx="0">
                  <c:v>132.91139240506328</c:v>
                </c:pt>
                <c:pt idx="1">
                  <c:v>53.54330708661417</c:v>
                </c:pt>
                <c:pt idx="2">
                  <c:v>68.965517241379317</c:v>
                </c:pt>
                <c:pt idx="3">
                  <c:v>38</c:v>
                </c:pt>
                <c:pt idx="4">
                  <c:v>38.095238095238095</c:v>
                </c:pt>
                <c:pt idx="5">
                  <c:v>18.934081346423564</c:v>
                </c:pt>
                <c:pt idx="6">
                  <c:v>7.0731707317073162</c:v>
                </c:pt>
                <c:pt idx="7">
                  <c:v>46.666666666666664</c:v>
                </c:pt>
                <c:pt idx="8">
                  <c:v>29.839883551673942</c:v>
                </c:pt>
                <c:pt idx="9">
                  <c:v>23.323943661971832</c:v>
                </c:pt>
                <c:pt idx="10">
                  <c:v>91.549295774647902</c:v>
                </c:pt>
                <c:pt idx="11">
                  <c:v>15.639810426540283</c:v>
                </c:pt>
                <c:pt idx="12">
                  <c:v>16.972477064220183</c:v>
                </c:pt>
                <c:pt idx="13">
                  <c:v>18.094534711964549</c:v>
                </c:pt>
                <c:pt idx="14">
                  <c:v>14.932432432432432</c:v>
                </c:pt>
                <c:pt idx="15">
                  <c:v>14.642857142857144</c:v>
                </c:pt>
                <c:pt idx="16">
                  <c:v>5.1779935275080913</c:v>
                </c:pt>
                <c:pt idx="17">
                  <c:v>12.559523809523808</c:v>
                </c:pt>
                <c:pt idx="18">
                  <c:v>10.055350553505535</c:v>
                </c:pt>
                <c:pt idx="19">
                  <c:v>10.833333333333332</c:v>
                </c:pt>
                <c:pt idx="20">
                  <c:v>7.4725274725274726</c:v>
                </c:pt>
                <c:pt idx="21">
                  <c:v>7.0588235294117645</c:v>
                </c:pt>
                <c:pt idx="22">
                  <c:v>7.2972972972972983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1B-484C-8D94-13992218A6ED}"/>
            </c:ext>
          </c:extLst>
        </c:ser>
        <c:ser>
          <c:idx val="2"/>
          <c:order val="2"/>
          <c:tx>
            <c:v>OIB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'All &gt;6%MgO'!$D$3:$D$25</c:f>
              <c:numCache>
                <c:formatCode>0.00</c:formatCode>
                <c:ptCount val="23"/>
                <c:pt idx="0">
                  <c:v>48.987341772151893</c:v>
                </c:pt>
                <c:pt idx="1">
                  <c:v>48.818897637795274</c:v>
                </c:pt>
                <c:pt idx="2">
                  <c:v>50.07869509228788</c:v>
                </c:pt>
                <c:pt idx="3">
                  <c:v>47.058823529411761</c:v>
                </c:pt>
                <c:pt idx="4">
                  <c:v>48.571428571428569</c:v>
                </c:pt>
                <c:pt idx="5">
                  <c:v>67.32117812061712</c:v>
                </c:pt>
                <c:pt idx="6">
                  <c:v>65.853658536585371</c:v>
                </c:pt>
                <c:pt idx="7">
                  <c:v>48.166666666666671</c:v>
                </c:pt>
                <c:pt idx="8">
                  <c:v>53.857350800582239</c:v>
                </c:pt>
                <c:pt idx="9">
                  <c:v>45.070422535211272</c:v>
                </c:pt>
                <c:pt idx="10">
                  <c:v>45.070422535211272</c:v>
                </c:pt>
                <c:pt idx="11">
                  <c:v>31.279620853080566</c:v>
                </c:pt>
                <c:pt idx="12">
                  <c:v>28.394495412844037</c:v>
                </c:pt>
                <c:pt idx="13">
                  <c:v>28.434268833087149</c:v>
                </c:pt>
                <c:pt idx="14">
                  <c:v>22.522522522522522</c:v>
                </c:pt>
                <c:pt idx="15">
                  <c:v>25</c:v>
                </c:pt>
                <c:pt idx="16">
                  <c:v>25.242718446601941</c:v>
                </c:pt>
                <c:pt idx="17">
                  <c:v>17.857142857142858</c:v>
                </c:pt>
                <c:pt idx="18">
                  <c:v>13.238007380073801</c:v>
                </c:pt>
                <c:pt idx="19">
                  <c:v>9.7222222222222232</c:v>
                </c:pt>
                <c:pt idx="20">
                  <c:v>6.3736263736263741</c:v>
                </c:pt>
                <c:pt idx="21">
                  <c:v>4.3813387423935097</c:v>
                </c:pt>
                <c:pt idx="22">
                  <c:v>4.0540540540540544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1B-484C-8D94-13992218A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1423904"/>
        <c:axId val="1752292480"/>
      </c:lineChart>
      <c:catAx>
        <c:axId val="181142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292480"/>
        <c:crosses val="autoZero"/>
        <c:auto val="1"/>
        <c:lblAlgn val="ctr"/>
        <c:lblOffset val="100"/>
        <c:noMultiLvlLbl val="0"/>
      </c:catAx>
      <c:valAx>
        <c:axId val="1752292480"/>
        <c:scaling>
          <c:logBase val="10"/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423904"/>
        <c:crosses val="autoZero"/>
        <c:crossBetween val="between"/>
        <c:majorUnit val="10"/>
        <c:min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AB2DB-2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'All &gt;6%MgO'!$HD$3:$HD$25</c:f>
              <c:strCache>
                <c:ptCount val="23"/>
                <c:pt idx="0">
                  <c:v>Cs</c:v>
                </c:pt>
                <c:pt idx="1">
                  <c:v>Rb</c:v>
                </c:pt>
                <c:pt idx="2">
                  <c:v>Ba</c:v>
                </c:pt>
                <c:pt idx="3">
                  <c:v>Th</c:v>
                </c:pt>
                <c:pt idx="4">
                  <c:v>U</c:v>
                </c:pt>
                <c:pt idx="5">
                  <c:v>Nb</c:v>
                </c:pt>
                <c:pt idx="6">
                  <c:v>Ta</c:v>
                </c:pt>
                <c:pt idx="7">
                  <c:v>K</c:v>
                </c:pt>
                <c:pt idx="8">
                  <c:v>La</c:v>
                </c:pt>
                <c:pt idx="9">
                  <c:v>Ce</c:v>
                </c:pt>
                <c:pt idx="10">
                  <c:v>Pb</c:v>
                </c:pt>
                <c:pt idx="11">
                  <c:v>Sr</c:v>
                </c:pt>
                <c:pt idx="12">
                  <c:v>P</c:v>
                </c:pt>
                <c:pt idx="13">
                  <c:v>Nd</c:v>
                </c:pt>
                <c:pt idx="14">
                  <c:v>Sm</c:v>
                </c:pt>
                <c:pt idx="15">
                  <c:v>Zr</c:v>
                </c:pt>
                <c:pt idx="16">
                  <c:v>Hf</c:v>
                </c:pt>
                <c:pt idx="17">
                  <c:v>Eu</c:v>
                </c:pt>
                <c:pt idx="18">
                  <c:v>Ti</c:v>
                </c:pt>
                <c:pt idx="19">
                  <c:v>Tb</c:v>
                </c:pt>
                <c:pt idx="20">
                  <c:v>Y</c:v>
                </c:pt>
                <c:pt idx="21">
                  <c:v>Yb</c:v>
                </c:pt>
                <c:pt idx="22">
                  <c:v>Lu</c:v>
                </c:pt>
              </c:strCache>
            </c:strRef>
          </c:cat>
          <c:val>
            <c:numRef>
              <c:f>'All &gt;6%MgO'!$HH$3:$HH$25</c:f>
              <c:numCache>
                <c:formatCode>General</c:formatCode>
                <c:ptCount val="23"/>
                <c:pt idx="0">
                  <c:v>24.050632911392402</c:v>
                </c:pt>
                <c:pt idx="1">
                  <c:v>15.748031496062993</c:v>
                </c:pt>
                <c:pt idx="2">
                  <c:v>20.460723994849047</c:v>
                </c:pt>
                <c:pt idx="3">
                  <c:v>12.588235294117647</c:v>
                </c:pt>
                <c:pt idx="4">
                  <c:v>14.285714285714285</c:v>
                </c:pt>
                <c:pt idx="5">
                  <c:v>11.640953716690044</c:v>
                </c:pt>
                <c:pt idx="6">
                  <c:v>9.0243902439024382</c:v>
                </c:pt>
                <c:pt idx="7">
                  <c:v>15.666666666666666</c:v>
                </c:pt>
                <c:pt idx="8">
                  <c:v>14.701601164483259</c:v>
                </c:pt>
                <c:pt idx="9">
                  <c:v>12.563380281690142</c:v>
                </c:pt>
                <c:pt idx="10">
                  <c:v>28.169014084507044</c:v>
                </c:pt>
                <c:pt idx="11">
                  <c:v>12.606635071090047</c:v>
                </c:pt>
                <c:pt idx="12">
                  <c:v>10.550458715596331</c:v>
                </c:pt>
                <c:pt idx="13">
                  <c:v>11.152141802067947</c:v>
                </c:pt>
                <c:pt idx="14">
                  <c:v>10.878378378378379</c:v>
                </c:pt>
                <c:pt idx="15">
                  <c:v>10.625</c:v>
                </c:pt>
                <c:pt idx="16">
                  <c:v>9.7087378640776691</c:v>
                </c:pt>
                <c:pt idx="17">
                  <c:v>10.059523809523808</c:v>
                </c:pt>
                <c:pt idx="18">
                  <c:v>7.7490774907749076</c:v>
                </c:pt>
                <c:pt idx="19">
                  <c:v>9.0740740740740744</c:v>
                </c:pt>
                <c:pt idx="20">
                  <c:v>7.0329670329670328</c:v>
                </c:pt>
                <c:pt idx="21">
                  <c:v>6.0243407707910759</c:v>
                </c:pt>
                <c:pt idx="22">
                  <c:v>6.3513513513513509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E6-4F13-9177-5838AE0561FA}"/>
            </c:ext>
          </c:extLst>
        </c:ser>
        <c:ser>
          <c:idx val="1"/>
          <c:order val="1"/>
          <c:tx>
            <c:v>AB7I-33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'All &gt;6%MgO'!$HD$3:$HD$25</c:f>
              <c:strCache>
                <c:ptCount val="23"/>
                <c:pt idx="0">
                  <c:v>Cs</c:v>
                </c:pt>
                <c:pt idx="1">
                  <c:v>Rb</c:v>
                </c:pt>
                <c:pt idx="2">
                  <c:v>Ba</c:v>
                </c:pt>
                <c:pt idx="3">
                  <c:v>Th</c:v>
                </c:pt>
                <c:pt idx="4">
                  <c:v>U</c:v>
                </c:pt>
                <c:pt idx="5">
                  <c:v>Nb</c:v>
                </c:pt>
                <c:pt idx="6">
                  <c:v>Ta</c:v>
                </c:pt>
                <c:pt idx="7">
                  <c:v>K</c:v>
                </c:pt>
                <c:pt idx="8">
                  <c:v>La</c:v>
                </c:pt>
                <c:pt idx="9">
                  <c:v>Ce</c:v>
                </c:pt>
                <c:pt idx="10">
                  <c:v>Pb</c:v>
                </c:pt>
                <c:pt idx="11">
                  <c:v>Sr</c:v>
                </c:pt>
                <c:pt idx="12">
                  <c:v>P</c:v>
                </c:pt>
                <c:pt idx="13">
                  <c:v>Nd</c:v>
                </c:pt>
                <c:pt idx="14">
                  <c:v>Sm</c:v>
                </c:pt>
                <c:pt idx="15">
                  <c:v>Zr</c:v>
                </c:pt>
                <c:pt idx="16">
                  <c:v>Hf</c:v>
                </c:pt>
                <c:pt idx="17">
                  <c:v>Eu</c:v>
                </c:pt>
                <c:pt idx="18">
                  <c:v>Ti</c:v>
                </c:pt>
                <c:pt idx="19">
                  <c:v>Tb</c:v>
                </c:pt>
                <c:pt idx="20">
                  <c:v>Y</c:v>
                </c:pt>
                <c:pt idx="21">
                  <c:v>Yb</c:v>
                </c:pt>
                <c:pt idx="22">
                  <c:v>Lu</c:v>
                </c:pt>
              </c:strCache>
            </c:strRef>
          </c:cat>
          <c:val>
            <c:numRef>
              <c:f>'All &gt;6%MgO'!$HM$3:$HM$25</c:f>
              <c:numCache>
                <c:formatCode>General</c:formatCode>
                <c:ptCount val="23"/>
                <c:pt idx="0">
                  <c:v>2.1578947368421053</c:v>
                </c:pt>
                <c:pt idx="1">
                  <c:v>2.9</c:v>
                </c:pt>
                <c:pt idx="2">
                  <c:v>2.9930069930069929</c:v>
                </c:pt>
                <c:pt idx="3">
                  <c:v>2.5887850467289719</c:v>
                </c:pt>
                <c:pt idx="4">
                  <c:v>3</c:v>
                </c:pt>
                <c:pt idx="5">
                  <c:v>2.1686746987951806</c:v>
                </c:pt>
                <c:pt idx="6">
                  <c:v>2.0540540540540539</c:v>
                </c:pt>
                <c:pt idx="7">
                  <c:v>2.6595744680851063</c:v>
                </c:pt>
                <c:pt idx="8">
                  <c:v>2.2772277227722775</c:v>
                </c:pt>
                <c:pt idx="9">
                  <c:v>2.2331838565022419</c:v>
                </c:pt>
                <c:pt idx="10">
                  <c:v>2.6</c:v>
                </c:pt>
                <c:pt idx="11">
                  <c:v>1.0112781954887218</c:v>
                </c:pt>
                <c:pt idx="12">
                  <c:v>1.8695652173913042</c:v>
                </c:pt>
                <c:pt idx="13">
                  <c:v>2.0132450331125828</c:v>
                </c:pt>
                <c:pt idx="14">
                  <c:v>1.7763975155279503</c:v>
                </c:pt>
                <c:pt idx="15">
                  <c:v>1.9159663865546219</c:v>
                </c:pt>
                <c:pt idx="16">
                  <c:v>3.4666666666666668</c:v>
                </c:pt>
                <c:pt idx="17">
                  <c:v>1.5207100591715976</c:v>
                </c:pt>
                <c:pt idx="18">
                  <c:v>1.7738095238095239</c:v>
                </c:pt>
                <c:pt idx="19">
                  <c:v>1.6122448979591837</c:v>
                </c:pt>
                <c:pt idx="20">
                  <c:v>1.5625</c:v>
                </c:pt>
                <c:pt idx="21">
                  <c:v>1.5387205387205387</c:v>
                </c:pt>
                <c:pt idx="22">
                  <c:v>1.5319148936170213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E6-4F13-9177-5838AE0561FA}"/>
            </c:ext>
          </c:extLst>
        </c:ser>
        <c:ser>
          <c:idx val="2"/>
          <c:order val="2"/>
          <c:tx>
            <c:v>OIB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'All &gt;6%MgO'!$D$3:$D$25</c:f>
              <c:numCache>
                <c:formatCode>0.00</c:formatCode>
                <c:ptCount val="23"/>
                <c:pt idx="0">
                  <c:v>48.987341772151893</c:v>
                </c:pt>
                <c:pt idx="1">
                  <c:v>48.818897637795274</c:v>
                </c:pt>
                <c:pt idx="2">
                  <c:v>50.07869509228788</c:v>
                </c:pt>
                <c:pt idx="3">
                  <c:v>47.058823529411761</c:v>
                </c:pt>
                <c:pt idx="4">
                  <c:v>48.571428571428569</c:v>
                </c:pt>
                <c:pt idx="5">
                  <c:v>67.32117812061712</c:v>
                </c:pt>
                <c:pt idx="6">
                  <c:v>65.853658536585371</c:v>
                </c:pt>
                <c:pt idx="7">
                  <c:v>48.166666666666671</c:v>
                </c:pt>
                <c:pt idx="8">
                  <c:v>53.857350800582239</c:v>
                </c:pt>
                <c:pt idx="9">
                  <c:v>45.070422535211272</c:v>
                </c:pt>
                <c:pt idx="10">
                  <c:v>45.070422535211272</c:v>
                </c:pt>
                <c:pt idx="11">
                  <c:v>31.279620853080566</c:v>
                </c:pt>
                <c:pt idx="12">
                  <c:v>28.394495412844037</c:v>
                </c:pt>
                <c:pt idx="13">
                  <c:v>28.434268833087149</c:v>
                </c:pt>
                <c:pt idx="14">
                  <c:v>22.522522522522522</c:v>
                </c:pt>
                <c:pt idx="15">
                  <c:v>25</c:v>
                </c:pt>
                <c:pt idx="16">
                  <c:v>25.242718446601941</c:v>
                </c:pt>
                <c:pt idx="17">
                  <c:v>17.857142857142858</c:v>
                </c:pt>
                <c:pt idx="18">
                  <c:v>13.238007380073801</c:v>
                </c:pt>
                <c:pt idx="19">
                  <c:v>9.7222222222222232</c:v>
                </c:pt>
                <c:pt idx="20">
                  <c:v>6.3736263736263741</c:v>
                </c:pt>
                <c:pt idx="21">
                  <c:v>4.3813387423935097</c:v>
                </c:pt>
                <c:pt idx="22">
                  <c:v>4.0540540540540544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C2-450E-9F0C-8EE34268B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1794512"/>
        <c:axId val="1495763968"/>
      </c:lineChart>
      <c:catAx>
        <c:axId val="130179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763968"/>
        <c:crossesAt val="1"/>
        <c:auto val="1"/>
        <c:lblAlgn val="ctr"/>
        <c:lblOffset val="100"/>
        <c:noMultiLvlLbl val="0"/>
      </c:catAx>
      <c:valAx>
        <c:axId val="1495763968"/>
        <c:scaling>
          <c:logBase val="10"/>
          <c:orientation val="minMax"/>
          <c:min val="1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79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'All &gt;6%MgO'!$A$3:$A$25</c:f>
              <c:strCache>
                <c:ptCount val="23"/>
                <c:pt idx="0">
                  <c:v>Cs</c:v>
                </c:pt>
                <c:pt idx="1">
                  <c:v>Rb</c:v>
                </c:pt>
                <c:pt idx="2">
                  <c:v>Ba</c:v>
                </c:pt>
                <c:pt idx="3">
                  <c:v>Th</c:v>
                </c:pt>
                <c:pt idx="4">
                  <c:v>U</c:v>
                </c:pt>
                <c:pt idx="5">
                  <c:v>Nb</c:v>
                </c:pt>
                <c:pt idx="6">
                  <c:v>Ta</c:v>
                </c:pt>
                <c:pt idx="7">
                  <c:v>K</c:v>
                </c:pt>
                <c:pt idx="8">
                  <c:v>La</c:v>
                </c:pt>
                <c:pt idx="9">
                  <c:v>Ce</c:v>
                </c:pt>
                <c:pt idx="10">
                  <c:v>Pb</c:v>
                </c:pt>
                <c:pt idx="11">
                  <c:v>Sr</c:v>
                </c:pt>
                <c:pt idx="12">
                  <c:v>P</c:v>
                </c:pt>
                <c:pt idx="13">
                  <c:v>Nd</c:v>
                </c:pt>
                <c:pt idx="14">
                  <c:v>Sm</c:v>
                </c:pt>
                <c:pt idx="15">
                  <c:v>Zr</c:v>
                </c:pt>
                <c:pt idx="16">
                  <c:v>Hf</c:v>
                </c:pt>
                <c:pt idx="17">
                  <c:v>Eu</c:v>
                </c:pt>
                <c:pt idx="18">
                  <c:v>Ti</c:v>
                </c:pt>
                <c:pt idx="19">
                  <c:v>Tb</c:v>
                </c:pt>
                <c:pt idx="20">
                  <c:v>Y</c:v>
                </c:pt>
                <c:pt idx="21">
                  <c:v>Yb</c:v>
                </c:pt>
                <c:pt idx="22">
                  <c:v>Lu</c:v>
                </c:pt>
              </c:strCache>
            </c:strRef>
          </c:cat>
          <c:val>
            <c:numRef>
              <c:f>'All &gt;6%MgO'!$JW$3:$JW$25</c:f>
              <c:numCache>
                <c:formatCode>General</c:formatCode>
                <c:ptCount val="23"/>
                <c:pt idx="0">
                  <c:v>75.060883191917071</c:v>
                </c:pt>
                <c:pt idx="1">
                  <c:v>13.625254277487734</c:v>
                </c:pt>
                <c:pt idx="2">
                  <c:v>18.722006909584394</c:v>
                </c:pt>
                <c:pt idx="3">
                  <c:v>8.6723782669172635</c:v>
                </c:pt>
                <c:pt idx="4">
                  <c:v>8.1307598302002901</c:v>
                </c:pt>
                <c:pt idx="5">
                  <c:v>10.09148694607264</c:v>
                </c:pt>
                <c:pt idx="6">
                  <c:v>8.2230165598415788</c:v>
                </c:pt>
                <c:pt idx="7">
                  <c:v>8.1023865938658286</c:v>
                </c:pt>
                <c:pt idx="8">
                  <c:v>5.5095077959397489</c:v>
                </c:pt>
                <c:pt idx="9">
                  <c:v>5.3141128816257428</c:v>
                </c:pt>
                <c:pt idx="10">
                  <c:v>18.948104243407126</c:v>
                </c:pt>
                <c:pt idx="11">
                  <c:v>4.0387611451751972</c:v>
                </c:pt>
                <c:pt idx="12">
                  <c:v>57.409283847325817</c:v>
                </c:pt>
                <c:pt idx="13">
                  <c:v>4.894195316151464</c:v>
                </c:pt>
                <c:pt idx="14">
                  <c:v>5.7935391855548595</c:v>
                </c:pt>
                <c:pt idx="15">
                  <c:v>9.4205603040784602</c:v>
                </c:pt>
                <c:pt idx="16">
                  <c:v>9.5827390388252365</c:v>
                </c:pt>
                <c:pt idx="17">
                  <c:v>5.7713196266708744</c:v>
                </c:pt>
                <c:pt idx="18">
                  <c:v>5.3365381572854647</c:v>
                </c:pt>
                <c:pt idx="19">
                  <c:v>6.8527246742662582</c:v>
                </c:pt>
                <c:pt idx="20">
                  <c:v>6.0617977951094968</c:v>
                </c:pt>
                <c:pt idx="21">
                  <c:v>5.3523022236910753</c:v>
                </c:pt>
                <c:pt idx="22">
                  <c:v>4.8671741520515139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9-4125-B48B-90A5D333A86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'All &gt;6%MgO'!$A$3:$A$25</c:f>
              <c:strCache>
                <c:ptCount val="23"/>
                <c:pt idx="0">
                  <c:v>Cs</c:v>
                </c:pt>
                <c:pt idx="1">
                  <c:v>Rb</c:v>
                </c:pt>
                <c:pt idx="2">
                  <c:v>Ba</c:v>
                </c:pt>
                <c:pt idx="3">
                  <c:v>Th</c:v>
                </c:pt>
                <c:pt idx="4">
                  <c:v>U</c:v>
                </c:pt>
                <c:pt idx="5">
                  <c:v>Nb</c:v>
                </c:pt>
                <c:pt idx="6">
                  <c:v>Ta</c:v>
                </c:pt>
                <c:pt idx="7">
                  <c:v>K</c:v>
                </c:pt>
                <c:pt idx="8">
                  <c:v>La</c:v>
                </c:pt>
                <c:pt idx="9">
                  <c:v>Ce</c:v>
                </c:pt>
                <c:pt idx="10">
                  <c:v>Pb</c:v>
                </c:pt>
                <c:pt idx="11">
                  <c:v>Sr</c:v>
                </c:pt>
                <c:pt idx="12">
                  <c:v>P</c:v>
                </c:pt>
                <c:pt idx="13">
                  <c:v>Nd</c:v>
                </c:pt>
                <c:pt idx="14">
                  <c:v>Sm</c:v>
                </c:pt>
                <c:pt idx="15">
                  <c:v>Zr</c:v>
                </c:pt>
                <c:pt idx="16">
                  <c:v>Hf</c:v>
                </c:pt>
                <c:pt idx="17">
                  <c:v>Eu</c:v>
                </c:pt>
                <c:pt idx="18">
                  <c:v>Ti</c:v>
                </c:pt>
                <c:pt idx="19">
                  <c:v>Tb</c:v>
                </c:pt>
                <c:pt idx="20">
                  <c:v>Y</c:v>
                </c:pt>
                <c:pt idx="21">
                  <c:v>Yb</c:v>
                </c:pt>
                <c:pt idx="22">
                  <c:v>Lu</c:v>
                </c:pt>
              </c:strCache>
            </c:strRef>
          </c:cat>
          <c:val>
            <c:numRef>
              <c:f>'All &gt;6%MgO'!$KE$3:$KE$25</c:f>
              <c:numCache>
                <c:formatCode>General</c:formatCode>
                <c:ptCount val="23"/>
                <c:pt idx="0">
                  <c:v>1.4210980442010059</c:v>
                </c:pt>
                <c:pt idx="1">
                  <c:v>0.40237670752603566</c:v>
                </c:pt>
                <c:pt idx="2">
                  <c:v>0.50770870598217877</c:v>
                </c:pt>
                <c:pt idx="4">
                  <c:v>0.23650639631988146</c:v>
                </c:pt>
                <c:pt idx="5">
                  <c:v>0.23241123558165985</c:v>
                </c:pt>
                <c:pt idx="6">
                  <c:v>0.42212477498446971</c:v>
                </c:pt>
                <c:pt idx="7">
                  <c:v>1.5465578581095989</c:v>
                </c:pt>
                <c:pt idx="8">
                  <c:v>0.29548240837714529</c:v>
                </c:pt>
                <c:pt idx="9">
                  <c:v>0.39132763960661643</c:v>
                </c:pt>
                <c:pt idx="10">
                  <c:v>3.8315786586457752</c:v>
                </c:pt>
                <c:pt idx="11">
                  <c:v>1.2492480308145641</c:v>
                </c:pt>
                <c:pt idx="12">
                  <c:v>26.434282918223769</c:v>
                </c:pt>
                <c:pt idx="13">
                  <c:v>0.73417821701634078</c:v>
                </c:pt>
                <c:pt idx="14">
                  <c:v>1.5909466703086546</c:v>
                </c:pt>
                <c:pt idx="15">
                  <c:v>1.3267219120291633</c:v>
                </c:pt>
                <c:pt idx="16">
                  <c:v>2.0437972350678852</c:v>
                </c:pt>
                <c:pt idx="17">
                  <c:v>1.9186233530202561</c:v>
                </c:pt>
                <c:pt idx="18">
                  <c:v>2.4881484813419883</c:v>
                </c:pt>
                <c:pt idx="19">
                  <c:v>2.2247916340580409</c:v>
                </c:pt>
                <c:pt idx="20">
                  <c:v>2.1461603737518882</c:v>
                </c:pt>
                <c:pt idx="21">
                  <c:v>1.8547732039565816</c:v>
                </c:pt>
                <c:pt idx="22">
                  <c:v>1.7106602590382392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59-4125-B48B-90A5D333A86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'All &gt;6%MgO'!$KG$3:$KG$25</c:f>
              <c:numCache>
                <c:formatCode>General</c:formatCode>
                <c:ptCount val="23"/>
                <c:pt idx="0">
                  <c:v>30.525205950674646</c:v>
                </c:pt>
                <c:pt idx="1">
                  <c:v>6.1555267976794186</c:v>
                </c:pt>
                <c:pt idx="2">
                  <c:v>12.461970304427247</c:v>
                </c:pt>
                <c:pt idx="3">
                  <c:v>3.3794714935044801</c:v>
                </c:pt>
                <c:pt idx="4">
                  <c:v>4.2990694738153996</c:v>
                </c:pt>
                <c:pt idx="5">
                  <c:v>3.4851344196557847</c:v>
                </c:pt>
                <c:pt idx="6">
                  <c:v>3.0158831070667906</c:v>
                </c:pt>
                <c:pt idx="7">
                  <c:v>4.4452220103343203</c:v>
                </c:pt>
                <c:pt idx="8">
                  <c:v>2.1727360374491482</c:v>
                </c:pt>
                <c:pt idx="9">
                  <c:v>2.0481607125699557</c:v>
                </c:pt>
                <c:pt idx="10">
                  <c:v>1195.9974579724565</c:v>
                </c:pt>
                <c:pt idx="11">
                  <c:v>3.3236591811145719</c:v>
                </c:pt>
                <c:pt idx="12">
                  <c:v>22.253138720073718</c:v>
                </c:pt>
                <c:pt idx="13">
                  <c:v>1.9485651855742212</c:v>
                </c:pt>
                <c:pt idx="14">
                  <c:v>2.2882496184119612</c:v>
                </c:pt>
                <c:pt idx="15">
                  <c:v>3.5206133064909513</c:v>
                </c:pt>
                <c:pt idx="16">
                  <c:v>3.7693720286740704</c:v>
                </c:pt>
                <c:pt idx="17">
                  <c:v>3.1024888466362448</c:v>
                </c:pt>
                <c:pt idx="18">
                  <c:v>2.600242096100386</c:v>
                </c:pt>
                <c:pt idx="19">
                  <c:v>2.946074589330014</c:v>
                </c:pt>
                <c:pt idx="20">
                  <c:v>2.7996143215052505</c:v>
                </c:pt>
                <c:pt idx="21">
                  <c:v>2.5385905414826384</c:v>
                </c:pt>
                <c:pt idx="22">
                  <c:v>2.378409052815913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59-4125-B48B-90A5D333A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3636447"/>
        <c:axId val="1769604655"/>
      </c:lineChart>
      <c:catAx>
        <c:axId val="167363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604655"/>
        <c:crossesAt val="0.1"/>
        <c:auto val="1"/>
        <c:lblAlgn val="ctr"/>
        <c:lblOffset val="100"/>
        <c:noMultiLvlLbl val="0"/>
      </c:catAx>
      <c:valAx>
        <c:axId val="1769604655"/>
        <c:scaling>
          <c:logBase val="10"/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63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EA117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REE!$A$3:$A$16</c:f>
              <c:strCache>
                <c:ptCount val="14"/>
                <c:pt idx="0">
                  <c:v>La</c:v>
                </c:pt>
                <c:pt idx="1">
                  <c:v>Ce</c:v>
                </c:pt>
                <c:pt idx="2">
                  <c:v>Pr</c:v>
                </c:pt>
                <c:pt idx="3">
                  <c:v>Nd</c:v>
                </c:pt>
                <c:pt idx="4">
                  <c:v>Sm</c:v>
                </c:pt>
                <c:pt idx="5">
                  <c:v>Eu</c:v>
                </c:pt>
                <c:pt idx="6">
                  <c:v>Gd</c:v>
                </c:pt>
                <c:pt idx="7">
                  <c:v>Tb</c:v>
                </c:pt>
                <c:pt idx="8">
                  <c:v>Dy</c:v>
                </c:pt>
                <c:pt idx="9">
                  <c:v>Ho</c:v>
                </c:pt>
                <c:pt idx="10">
                  <c:v>Er</c:v>
                </c:pt>
                <c:pt idx="11">
                  <c:v>Tm</c:v>
                </c:pt>
                <c:pt idx="12">
                  <c:v>Yb</c:v>
                </c:pt>
                <c:pt idx="13">
                  <c:v>Lu</c:v>
                </c:pt>
              </c:strCache>
            </c:strRef>
          </c:cat>
          <c:val>
            <c:numRef>
              <c:f>REE!$L$3:$L$16</c:f>
              <c:numCache>
                <c:formatCode>General</c:formatCode>
                <c:ptCount val="14"/>
                <c:pt idx="0">
                  <c:v>208.87096774193549</c:v>
                </c:pt>
                <c:pt idx="1">
                  <c:v>145.66831683168317</c:v>
                </c:pt>
                <c:pt idx="2">
                  <c:v>111.06557377049181</c:v>
                </c:pt>
                <c:pt idx="3">
                  <c:v>87.183333333333337</c:v>
                </c:pt>
                <c:pt idx="4">
                  <c:v>45.897435897435891</c:v>
                </c:pt>
                <c:pt idx="5">
                  <c:v>37.414965986394563</c:v>
                </c:pt>
                <c:pt idx="6">
                  <c:v>29.034749034749034</c:v>
                </c:pt>
                <c:pt idx="7">
                  <c:v>21.729957805907176</c:v>
                </c:pt>
                <c:pt idx="8">
                  <c:v>16.397515527950311</c:v>
                </c:pt>
                <c:pt idx="9">
                  <c:v>14.902506963788301</c:v>
                </c:pt>
                <c:pt idx="10">
                  <c:v>12.571428571428573</c:v>
                </c:pt>
                <c:pt idx="11">
                  <c:v>12.037037037037038</c:v>
                </c:pt>
                <c:pt idx="12">
                  <c:v>12.009569377990431</c:v>
                </c:pt>
                <c:pt idx="13">
                  <c:v>11.180124223602483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6-3A47-83F5-89B5C750511A}"/>
            </c:ext>
          </c:extLst>
        </c:ser>
        <c:ser>
          <c:idx val="1"/>
          <c:order val="1"/>
          <c:tx>
            <c:v>EA105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REE!$M$3:$M$16</c:f>
              <c:numCache>
                <c:formatCode>General</c:formatCode>
                <c:ptCount val="14"/>
                <c:pt idx="0">
                  <c:v>141.67741935483872</c:v>
                </c:pt>
                <c:pt idx="1">
                  <c:v>102.1658415841584</c:v>
                </c:pt>
                <c:pt idx="2">
                  <c:v>79.918032786885249</c:v>
                </c:pt>
                <c:pt idx="3">
                  <c:v>62.666666666666671</c:v>
                </c:pt>
                <c:pt idx="4">
                  <c:v>37.07692307692308</c:v>
                </c:pt>
                <c:pt idx="5">
                  <c:v>30.068027210884356</c:v>
                </c:pt>
                <c:pt idx="6">
                  <c:v>25.405405405405403</c:v>
                </c:pt>
                <c:pt idx="7">
                  <c:v>18.354430379746837</c:v>
                </c:pt>
                <c:pt idx="8">
                  <c:v>14.347826086956522</c:v>
                </c:pt>
                <c:pt idx="9">
                  <c:v>12.674094707520892</c:v>
                </c:pt>
                <c:pt idx="10">
                  <c:v>11.285714285714286</c:v>
                </c:pt>
                <c:pt idx="11">
                  <c:v>10.802469135802468</c:v>
                </c:pt>
                <c:pt idx="12">
                  <c:v>10.43062200956938</c:v>
                </c:pt>
                <c:pt idx="13">
                  <c:v>9.937888198757765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46-3A47-83F5-89B5C750511A}"/>
            </c:ext>
          </c:extLst>
        </c:ser>
        <c:ser>
          <c:idx val="2"/>
          <c:order val="2"/>
          <c:tx>
            <c:v>KX-2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REE!$N$3:$N$16</c:f>
              <c:numCache>
                <c:formatCode>General</c:formatCode>
                <c:ptCount val="14"/>
                <c:pt idx="0">
                  <c:v>5.1612903225806459</c:v>
                </c:pt>
                <c:pt idx="1">
                  <c:v>3.8366336633663365</c:v>
                </c:pt>
                <c:pt idx="2">
                  <c:v>3.278688524590164</c:v>
                </c:pt>
                <c:pt idx="3">
                  <c:v>3</c:v>
                </c:pt>
                <c:pt idx="4">
                  <c:v>1.5384615384615383</c:v>
                </c:pt>
                <c:pt idx="5">
                  <c:v>1.7687074829931975</c:v>
                </c:pt>
                <c:pt idx="6">
                  <c:v>1.2741312741312742</c:v>
                </c:pt>
                <c:pt idx="7">
                  <c:v>1.0548523206751057</c:v>
                </c:pt>
                <c:pt idx="8">
                  <c:v>1.0559006211180124</c:v>
                </c:pt>
                <c:pt idx="9">
                  <c:v>0.97493036211699169</c:v>
                </c:pt>
                <c:pt idx="10">
                  <c:v>0.80952380952380965</c:v>
                </c:pt>
                <c:pt idx="11">
                  <c:v>1.5432098765432101</c:v>
                </c:pt>
                <c:pt idx="12">
                  <c:v>1.1483253588516746</c:v>
                </c:pt>
                <c:pt idx="13">
                  <c:v>0.62111801242236031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B46-3A47-83F5-89B5C750511A}"/>
            </c:ext>
          </c:extLst>
        </c:ser>
        <c:ser>
          <c:idx val="3"/>
          <c:order val="3"/>
          <c:tx>
            <c:v>KX-4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REE!$O$3:$O$16</c:f>
              <c:numCache>
                <c:formatCode>General</c:formatCode>
                <c:ptCount val="14"/>
                <c:pt idx="0">
                  <c:v>4.5161290322580641</c:v>
                </c:pt>
                <c:pt idx="1">
                  <c:v>3.0940594059405937</c:v>
                </c:pt>
                <c:pt idx="2">
                  <c:v>2.7049180327868854</c:v>
                </c:pt>
                <c:pt idx="3">
                  <c:v>2.8333333333333335</c:v>
                </c:pt>
                <c:pt idx="4">
                  <c:v>2.0512820512820515</c:v>
                </c:pt>
                <c:pt idx="5">
                  <c:v>1.7687074829931975</c:v>
                </c:pt>
                <c:pt idx="6">
                  <c:v>1.3127413127413128</c:v>
                </c:pt>
                <c:pt idx="7">
                  <c:v>1.0548523206751057</c:v>
                </c:pt>
                <c:pt idx="8">
                  <c:v>0.86956521739130443</c:v>
                </c:pt>
                <c:pt idx="9">
                  <c:v>0.83565459610027848</c:v>
                </c:pt>
                <c:pt idx="10">
                  <c:v>0.76190476190476197</c:v>
                </c:pt>
                <c:pt idx="11">
                  <c:v>1.5432098765432101</c:v>
                </c:pt>
                <c:pt idx="12">
                  <c:v>1.0526315789473684</c:v>
                </c:pt>
                <c:pt idx="13">
                  <c:v>1.2422360248447206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B46-3A47-83F5-89B5C7505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068432"/>
        <c:axId val="418077600"/>
      </c:lineChart>
      <c:catAx>
        <c:axId val="41806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077600"/>
        <c:crossesAt val="0.1"/>
        <c:auto val="1"/>
        <c:lblAlgn val="ctr"/>
        <c:lblOffset val="100"/>
        <c:noMultiLvlLbl val="0"/>
      </c:catAx>
      <c:valAx>
        <c:axId val="418077600"/>
        <c:scaling>
          <c:logBase val="10"/>
          <c:orientation val="minMax"/>
          <c:max val="1000"/>
          <c:min val="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1">
                    <a:solidFill>
                      <a:schemeClr val="tx1"/>
                    </a:solidFill>
                  </a:rPr>
                  <a:t>REE/Chondrite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068432"/>
        <c:crosses val="autoZero"/>
        <c:crossBetween val="between"/>
        <c:majorUnit val="10"/>
        <c:min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213</xdr:col>
      <xdr:colOff>0</xdr:colOff>
      <xdr:row>49</xdr:row>
      <xdr:rowOff>0</xdr:rowOff>
    </xdr:from>
    <xdr:to>
      <xdr:col>217</xdr:col>
      <xdr:colOff>470471</xdr:colOff>
      <xdr:row>67</xdr:row>
      <xdr:rowOff>30716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226</xdr:col>
      <xdr:colOff>0</xdr:colOff>
      <xdr:row>47</xdr:row>
      <xdr:rowOff>0</xdr:rowOff>
    </xdr:from>
    <xdr:to>
      <xdr:col>233</xdr:col>
      <xdr:colOff>168088</xdr:colOff>
      <xdr:row>62</xdr:row>
      <xdr:rowOff>100853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D0CC7B5A-114F-B84E-9B2B-F35DD82166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85</xdr:col>
      <xdr:colOff>366889</xdr:colOff>
      <xdr:row>28</xdr:row>
      <xdr:rowOff>189036</xdr:rowOff>
    </xdr:from>
    <xdr:to>
      <xdr:col>93</xdr:col>
      <xdr:colOff>677333</xdr:colOff>
      <xdr:row>49</xdr:row>
      <xdr:rowOff>62036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8BB244F-F9E3-7848-A19A-0295D922E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80</xdr:col>
      <xdr:colOff>164668</xdr:colOff>
      <xdr:row>26</xdr:row>
      <xdr:rowOff>43140</xdr:rowOff>
    </xdr:from>
    <xdr:to>
      <xdr:col>84</xdr:col>
      <xdr:colOff>658962</xdr:colOff>
      <xdr:row>47</xdr:row>
      <xdr:rowOff>14110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CF4B5823-0878-104F-8D95-CB67E66A4B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73</xdr:col>
      <xdr:colOff>0</xdr:colOff>
      <xdr:row>26</xdr:row>
      <xdr:rowOff>0</xdr:rowOff>
    </xdr:from>
    <xdr:to>
      <xdr:col>79</xdr:col>
      <xdr:colOff>731678</xdr:colOff>
      <xdr:row>46</xdr:row>
      <xdr:rowOff>172747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1B2A196-43BE-9048-898B-26AAA49914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1998453</xdr:colOff>
      <xdr:row>25</xdr:row>
      <xdr:rowOff>186906</xdr:rowOff>
    </xdr:from>
    <xdr:to>
      <xdr:col>8</xdr:col>
      <xdr:colOff>517585</xdr:colOff>
      <xdr:row>40</xdr:row>
      <xdr:rowOff>95609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38D087-DDA0-4ABA-8F5F-D9BC6E452B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38100</xdr:colOff>
      <xdr:row>42</xdr:row>
      <xdr:rowOff>60960</xdr:rowOff>
    </xdr:from>
    <xdr:to>
      <xdr:col>7</xdr:col>
      <xdr:colOff>468630</xdr:colOff>
      <xdr:row>60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1921E5-1154-4FB1-944D-D82B6B413B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491490</xdr:colOff>
      <xdr:row>28</xdr:row>
      <xdr:rowOff>11430</xdr:rowOff>
    </xdr:from>
    <xdr:to>
      <xdr:col>22</xdr:col>
      <xdr:colOff>605790</xdr:colOff>
      <xdr:row>41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BDCB06-9345-4E95-B95C-53F561813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800100</xdr:colOff>
      <xdr:row>27</xdr:row>
      <xdr:rowOff>133350</xdr:rowOff>
    </xdr:from>
    <xdr:to>
      <xdr:col>17</xdr:col>
      <xdr:colOff>171450</xdr:colOff>
      <xdr:row>49</xdr:row>
      <xdr:rowOff>152400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36643B3F-A3C7-1AAD-56D5-7B48FCEB1C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210</xdr:col>
      <xdr:colOff>477865</xdr:colOff>
      <xdr:row>27</xdr:row>
      <xdr:rowOff>191145</xdr:rowOff>
    </xdr:from>
    <xdr:to>
      <xdr:col>215</xdr:col>
      <xdr:colOff>335797</xdr:colOff>
      <xdr:row>42</xdr:row>
      <xdr:rowOff>28413</xdr:rowOff>
    </xdr:to>
    <xdr:graphicFrame macro="">
      <xdr:nvGraphicFramePr>
        <xdr:cNvPr id="6" name="Grafik 5">
          <a:extLst>
            <a:ext uri="{FF2B5EF4-FFF2-40B4-BE49-F238E27FC236}">
              <a16:creationId xmlns:a16="http://schemas.microsoft.com/office/drawing/2014/main" id="{4FED102A-C7CF-508F-3BB1-D3E8B72BA7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285</xdr:col>
      <xdr:colOff>860258</xdr:colOff>
      <xdr:row>31</xdr:row>
      <xdr:rowOff>105581</xdr:rowOff>
    </xdr:from>
    <xdr:to>
      <xdr:col>291</xdr:col>
      <xdr:colOff>90044</xdr:colOff>
      <xdr:row>45</xdr:row>
      <xdr:rowOff>96691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AB1291E-F437-42B1-9396-E4A62A49C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0.11274</cdr:x>
      <cdr:y>0.07798</cdr:y>
    </cdr:from>
    <cdr:to>
      <cdr:x>0.3917</cdr:x>
      <cdr:y>0.15595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CE03553-3E9C-044C-BEC9-9B701494793B}"/>
            </a:ext>
          </a:extLst>
        </cdr:cNvPr>
        <cdr:cNvSpPr txBox="1"/>
      </cdr:nvSpPr>
      <cdr:spPr>
        <a:xfrm xmlns:a="http://schemas.openxmlformats.org/drawingml/2006/main">
          <a:off x="660400" y="245533"/>
          <a:ext cx="1634066" cy="2455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 i="1">
              <a:solidFill>
                <a:schemeClr val="accent1"/>
              </a:solidFill>
            </a:rPr>
            <a:t>WESTERN</a:t>
          </a:r>
          <a:r>
            <a:rPr lang="en-US" sz="1100" b="1" i="1" baseline="0">
              <a:solidFill>
                <a:schemeClr val="accent1"/>
              </a:solidFill>
            </a:rPr>
            <a:t> ANATOLIA</a:t>
          </a:r>
          <a:endParaRPr lang="en-US" sz="1100" b="1" i="1">
            <a:solidFill>
              <a:schemeClr val="accent1"/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554568</xdr:colOff>
      <xdr:row>18</xdr:row>
      <xdr:rowOff>8466</xdr:rowOff>
    </xdr:from>
    <xdr:to>
      <xdr:col>14</xdr:col>
      <xdr:colOff>385235</xdr:colOff>
      <xdr:row>34</xdr:row>
      <xdr:rowOff>42333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F75872B-A542-0044-B338-57076F49E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"/>
  <sheetViews>
    <sheetView workbookViewId="0">
      <selection activeCell="AQ1" sqref="AQ1:AQ1048576"/>
    </sheetView>
  </sheetViews>
  <sheetFormatPr defaultColWidth="10.6328125" defaultRowHeight="15.6" x14ac:dyDescent="0.3"/>
  <cols>
    <col min="1" max="1" width="10.36328125" style="3" bestFit="1" customWidth="1"/>
    <col min="2" max="3" width="10.1796875" style="3" bestFit="1" customWidth="1"/>
    <col min="4" max="4" width="11.453125" style="3" bestFit="1" customWidth="1"/>
    <col min="5" max="5" width="11.1796875" style="3" bestFit="1" customWidth="1"/>
    <col min="6" max="6" width="10.36328125" style="3" bestFit="1" customWidth="1"/>
    <col min="7" max="7" width="9.1796875" style="3" bestFit="1" customWidth="1"/>
    <col min="8" max="12" width="7.6328125" style="3" bestFit="1" customWidth="1"/>
    <col min="13" max="13" width="7.1796875" style="3" bestFit="1" customWidth="1"/>
    <col min="14" max="14" width="7.453125" style="3" bestFit="1" customWidth="1"/>
    <col min="15" max="15" width="8.1796875" style="3" bestFit="1" customWidth="1"/>
    <col min="16" max="16" width="7.453125" style="3" bestFit="1" customWidth="1"/>
    <col min="17" max="17" width="7.6328125" style="3" bestFit="1" customWidth="1"/>
    <col min="18" max="18" width="7.36328125" style="3" bestFit="1" customWidth="1"/>
    <col min="19" max="19" width="7.1796875" style="3" bestFit="1" customWidth="1"/>
    <col min="20" max="20" width="8.36328125" style="3" bestFit="1" customWidth="1"/>
    <col min="21" max="22" width="10.6328125" style="3" bestFit="1" customWidth="1"/>
    <col min="23" max="23" width="10.453125" style="3" bestFit="1" customWidth="1"/>
    <col min="24" max="25" width="10.81640625" style="3" bestFit="1" customWidth="1"/>
    <col min="26" max="30" width="7.36328125" style="3" bestFit="1" customWidth="1"/>
    <col min="31" max="31" width="7.453125" style="3" bestFit="1" customWidth="1"/>
    <col min="32" max="32" width="8.1796875" style="3" bestFit="1" customWidth="1"/>
    <col min="33" max="33" width="8.453125" style="3" bestFit="1" customWidth="1"/>
    <col min="34" max="35" width="8.1796875" style="3" bestFit="1" customWidth="1"/>
    <col min="36" max="36" width="7.36328125" style="3" bestFit="1" customWidth="1"/>
    <col min="37" max="37" width="9" style="3" bestFit="1" customWidth="1"/>
    <col min="38" max="38" width="8.1796875" style="3" bestFit="1" customWidth="1"/>
    <col min="39" max="40" width="8.36328125" style="3" bestFit="1" customWidth="1"/>
    <col min="41" max="41" width="9.1796875" style="3" bestFit="1" customWidth="1"/>
    <col min="42" max="43" width="8.453125" style="3" bestFit="1" customWidth="1"/>
    <col min="44" max="44" width="7.81640625" style="3" bestFit="1" customWidth="1"/>
    <col min="45" max="45" width="8.453125" style="3" bestFit="1" customWidth="1"/>
    <col min="46" max="46" width="8.1796875" style="3" bestFit="1" customWidth="1"/>
    <col min="47" max="47" width="7.81640625" style="3" bestFit="1" customWidth="1"/>
    <col min="48" max="48" width="7.81640625" style="4" bestFit="1" customWidth="1"/>
    <col min="49" max="49" width="9.1796875" style="2" bestFit="1" customWidth="1"/>
    <col min="50" max="50" width="11.1796875" style="4" customWidth="1"/>
    <col min="51" max="16384" width="10.6328125" style="3"/>
  </cols>
  <sheetData>
    <row r="1" spans="1:50" x14ac:dyDescent="0.3">
      <c r="A1" s="11" t="s">
        <v>0</v>
      </c>
      <c r="B1" s="12" t="s">
        <v>25</v>
      </c>
      <c r="C1" s="12" t="s">
        <v>27</v>
      </c>
      <c r="D1" s="12" t="s">
        <v>28</v>
      </c>
      <c r="E1" s="12" t="s">
        <v>29</v>
      </c>
      <c r="F1" s="12" t="s">
        <v>30</v>
      </c>
      <c r="G1" s="12" t="s">
        <v>32</v>
      </c>
      <c r="H1" s="12" t="s">
        <v>34</v>
      </c>
      <c r="I1" s="12" t="s">
        <v>36</v>
      </c>
      <c r="J1" s="12" t="s">
        <v>37</v>
      </c>
      <c r="K1" s="12" t="s">
        <v>38</v>
      </c>
      <c r="L1" s="12" t="s">
        <v>39</v>
      </c>
      <c r="M1" s="12" t="s">
        <v>40</v>
      </c>
      <c r="N1" s="12" t="s">
        <v>42</v>
      </c>
      <c r="O1" s="12" t="s">
        <v>43</v>
      </c>
      <c r="P1" s="12" t="s">
        <v>44</v>
      </c>
      <c r="Q1" s="12" t="s">
        <v>45</v>
      </c>
      <c r="R1" s="12" t="s">
        <v>46</v>
      </c>
      <c r="S1" s="12" t="s">
        <v>47</v>
      </c>
      <c r="T1" s="12" t="s">
        <v>48</v>
      </c>
      <c r="U1" s="12" t="s">
        <v>49</v>
      </c>
      <c r="V1" s="12" t="s">
        <v>50</v>
      </c>
      <c r="W1" s="12" t="s">
        <v>51</v>
      </c>
      <c r="X1" s="16">
        <v>28</v>
      </c>
      <c r="Y1" s="16">
        <v>31</v>
      </c>
      <c r="Z1" s="12" t="s">
        <v>53</v>
      </c>
      <c r="AA1" s="12" t="s">
        <v>55</v>
      </c>
      <c r="AB1" s="12" t="s">
        <v>56</v>
      </c>
      <c r="AC1" s="12" t="s">
        <v>57</v>
      </c>
      <c r="AD1" s="12" t="s">
        <v>58</v>
      </c>
      <c r="AE1" s="12" t="s">
        <v>60</v>
      </c>
      <c r="AF1" s="12" t="s">
        <v>61</v>
      </c>
      <c r="AG1" s="12" t="s">
        <v>63</v>
      </c>
      <c r="AH1" s="12" t="s">
        <v>64</v>
      </c>
      <c r="AI1" s="12" t="s">
        <v>66</v>
      </c>
      <c r="AJ1" s="12" t="s">
        <v>68</v>
      </c>
      <c r="AK1" s="12" t="s">
        <v>69</v>
      </c>
      <c r="AL1" s="12" t="s">
        <v>71</v>
      </c>
      <c r="AM1" s="12" t="s">
        <v>72</v>
      </c>
      <c r="AN1" s="12" t="s">
        <v>74</v>
      </c>
      <c r="AO1" s="12" t="s">
        <v>75</v>
      </c>
      <c r="AP1" s="12" t="s">
        <v>77</v>
      </c>
      <c r="AQ1" s="12" t="s">
        <v>79</v>
      </c>
      <c r="AR1" s="12" t="s">
        <v>80</v>
      </c>
      <c r="AS1" s="12" t="s">
        <v>81</v>
      </c>
      <c r="AT1" s="12" t="s">
        <v>82</v>
      </c>
      <c r="AU1" s="12" t="s">
        <v>83</v>
      </c>
      <c r="AV1" s="1"/>
      <c r="AX1" s="1"/>
    </row>
    <row r="2" spans="1:50" x14ac:dyDescent="0.3">
      <c r="A2" s="11" t="s">
        <v>1</v>
      </c>
      <c r="B2" s="12" t="s">
        <v>26</v>
      </c>
      <c r="C2" s="12" t="s">
        <v>26</v>
      </c>
      <c r="D2" s="12" t="s">
        <v>26</v>
      </c>
      <c r="E2" s="12" t="s">
        <v>26</v>
      </c>
      <c r="F2" s="12" t="s">
        <v>31</v>
      </c>
      <c r="G2" s="12" t="s">
        <v>33</v>
      </c>
      <c r="H2" s="12" t="s">
        <v>35</v>
      </c>
      <c r="I2" s="12" t="s">
        <v>35</v>
      </c>
      <c r="J2" s="12" t="s">
        <v>35</v>
      </c>
      <c r="K2" s="12" t="s">
        <v>35</v>
      </c>
      <c r="L2" s="12" t="s">
        <v>35</v>
      </c>
      <c r="M2" s="12" t="s">
        <v>41</v>
      </c>
      <c r="N2" s="12" t="s">
        <v>41</v>
      </c>
      <c r="O2" s="12" t="s">
        <v>41</v>
      </c>
      <c r="P2" s="12" t="s">
        <v>41</v>
      </c>
      <c r="Q2" s="12" t="s">
        <v>41</v>
      </c>
      <c r="R2" s="12" t="s">
        <v>41</v>
      </c>
      <c r="S2" s="12" t="s">
        <v>41</v>
      </c>
      <c r="T2" s="12" t="s">
        <v>41</v>
      </c>
      <c r="U2" s="12" t="s">
        <v>41</v>
      </c>
      <c r="V2" s="12" t="s">
        <v>41</v>
      </c>
      <c r="W2" s="12" t="s">
        <v>41</v>
      </c>
      <c r="X2" s="12" t="s">
        <v>52</v>
      </c>
      <c r="Y2" s="12" t="s">
        <v>52</v>
      </c>
      <c r="Z2" s="12" t="s">
        <v>54</v>
      </c>
      <c r="AA2" s="12" t="s">
        <v>54</v>
      </c>
      <c r="AB2" s="12" t="s">
        <v>54</v>
      </c>
      <c r="AC2" s="12" t="s">
        <v>54</v>
      </c>
      <c r="AD2" s="12" t="s">
        <v>59</v>
      </c>
      <c r="AE2" s="12" t="s">
        <v>59</v>
      </c>
      <c r="AF2" s="12" t="s">
        <v>62</v>
      </c>
      <c r="AG2" s="12" t="s">
        <v>59</v>
      </c>
      <c r="AH2" s="12" t="s">
        <v>65</v>
      </c>
      <c r="AI2" s="12" t="s">
        <v>67</v>
      </c>
      <c r="AJ2" s="12" t="s">
        <v>62</v>
      </c>
      <c r="AK2" s="12" t="s">
        <v>70</v>
      </c>
      <c r="AL2" s="12" t="s">
        <v>62</v>
      </c>
      <c r="AM2" s="12" t="s">
        <v>73</v>
      </c>
      <c r="AN2" s="12" t="s">
        <v>73</v>
      </c>
      <c r="AO2" s="12" t="s">
        <v>76</v>
      </c>
      <c r="AP2" s="12" t="s">
        <v>78</v>
      </c>
      <c r="AQ2" s="12" t="s">
        <v>78</v>
      </c>
      <c r="AR2" s="12" t="s">
        <v>78</v>
      </c>
      <c r="AS2" s="12" t="s">
        <v>78</v>
      </c>
      <c r="AT2" s="12" t="s">
        <v>78</v>
      </c>
      <c r="AU2" s="12" t="s">
        <v>78</v>
      </c>
      <c r="AV2" s="8" t="s">
        <v>0</v>
      </c>
      <c r="AW2"/>
    </row>
    <row r="3" spans="1:50" x14ac:dyDescent="0.3">
      <c r="A3" s="11" t="s">
        <v>10</v>
      </c>
      <c r="B3" s="12">
        <v>9.3679999999999999E-2</v>
      </c>
      <c r="C3" s="12">
        <v>7.3915000000000008E-2</v>
      </c>
      <c r="D3" s="12">
        <v>4.9265000000000003E-2</v>
      </c>
      <c r="E3" s="12">
        <v>3.4095E-2</v>
      </c>
      <c r="F3" s="12"/>
      <c r="G3" s="12"/>
      <c r="H3" s="12">
        <v>1.3206899999999999</v>
      </c>
      <c r="I3" s="12">
        <v>6.4285000000000009E-2</v>
      </c>
      <c r="J3" s="12">
        <v>5.4800000000000001E-2</v>
      </c>
      <c r="K3" s="12">
        <v>5.8685000000000001E-2</v>
      </c>
      <c r="L3" s="12">
        <v>2.4185150000000002</v>
      </c>
      <c r="M3" s="12">
        <v>0.11840500000000001</v>
      </c>
      <c r="N3" s="13">
        <v>6.5460000000000004E-2</v>
      </c>
      <c r="O3" s="12">
        <v>0.97193499999999999</v>
      </c>
      <c r="P3" s="13">
        <v>0.29103000000000001</v>
      </c>
      <c r="Q3" s="13">
        <v>0.752965</v>
      </c>
      <c r="R3" s="13">
        <v>0.184555</v>
      </c>
      <c r="S3" s="13">
        <v>0.50267000000000006</v>
      </c>
      <c r="T3" s="13">
        <v>0.98030499999999998</v>
      </c>
      <c r="U3" s="12">
        <v>0.118405</v>
      </c>
      <c r="V3" s="12">
        <v>0.97193499999999999</v>
      </c>
      <c r="W3" s="12">
        <v>0.26108999999999999</v>
      </c>
      <c r="X3" s="12"/>
      <c r="Y3" s="12"/>
      <c r="Z3" s="12">
        <v>0.6</v>
      </c>
      <c r="AA3" s="12">
        <v>0.4</v>
      </c>
      <c r="AB3" s="12">
        <v>0.6</v>
      </c>
      <c r="AC3" s="12">
        <v>0.6</v>
      </c>
      <c r="AD3" s="12">
        <v>1.1000000000000001</v>
      </c>
      <c r="AE3" s="12">
        <v>1.9</v>
      </c>
      <c r="AF3" s="12">
        <v>0.8</v>
      </c>
      <c r="AG3" s="12">
        <v>0.8</v>
      </c>
      <c r="AH3" s="12">
        <v>1.7</v>
      </c>
      <c r="AI3" s="12">
        <v>1.8</v>
      </c>
      <c r="AJ3" s="12">
        <v>6.1</v>
      </c>
      <c r="AK3" s="12">
        <v>4.5</v>
      </c>
      <c r="AL3" s="12">
        <v>5.8</v>
      </c>
      <c r="AM3" s="12">
        <v>6.4</v>
      </c>
      <c r="AN3" s="12">
        <v>7.5</v>
      </c>
      <c r="AO3" s="12">
        <v>5.0999999999999996</v>
      </c>
      <c r="AP3" s="12">
        <v>0.6</v>
      </c>
      <c r="AQ3" s="12"/>
      <c r="AR3" s="12"/>
      <c r="AS3" s="14"/>
      <c r="AT3" s="12">
        <v>0.49</v>
      </c>
      <c r="AU3" s="12">
        <v>0.64</v>
      </c>
      <c r="AV3" s="9" t="s">
        <v>10</v>
      </c>
      <c r="AW3" s="6">
        <v>7.9000000000000008E-3</v>
      </c>
    </row>
    <row r="4" spans="1:50" x14ac:dyDescent="0.3">
      <c r="A4" s="11" t="s">
        <v>5</v>
      </c>
      <c r="B4" s="12">
        <v>6.80389</v>
      </c>
      <c r="C4" s="12">
        <v>6.1662750000000006</v>
      </c>
      <c r="D4" s="12">
        <v>4.6544699999999999</v>
      </c>
      <c r="E4" s="12">
        <v>4.9311150000000001</v>
      </c>
      <c r="F4" s="12">
        <v>13.5</v>
      </c>
      <c r="G4" s="12">
        <v>5.97</v>
      </c>
      <c r="H4" s="12">
        <v>81.03851499999999</v>
      </c>
      <c r="I4" s="12">
        <v>5.3472499999999998</v>
      </c>
      <c r="J4" s="12">
        <v>4.5502199999999995</v>
      </c>
      <c r="K4" s="12">
        <v>4.6054200000000005</v>
      </c>
      <c r="L4" s="12">
        <v>75.127170000000007</v>
      </c>
      <c r="M4" s="12">
        <v>12.840575000000001</v>
      </c>
      <c r="N4" s="12">
        <v>16.255230000000001</v>
      </c>
      <c r="O4" s="12">
        <v>10.835754999999999</v>
      </c>
      <c r="P4" s="12">
        <v>14.328620000000001</v>
      </c>
      <c r="Q4" s="12">
        <v>9.6166450000000001</v>
      </c>
      <c r="R4" s="12">
        <v>13.729655000000001</v>
      </c>
      <c r="S4" s="12">
        <v>12.125285</v>
      </c>
      <c r="T4" s="12">
        <v>5.9778849999999997</v>
      </c>
      <c r="U4" s="12">
        <v>12.840574999999999</v>
      </c>
      <c r="V4" s="12">
        <v>10.835754999999999</v>
      </c>
      <c r="W4" s="12">
        <v>15.493655</v>
      </c>
      <c r="X4" s="12">
        <v>36.770000000000003</v>
      </c>
      <c r="Y4" s="12">
        <v>22.79</v>
      </c>
      <c r="Z4" s="12">
        <v>19.899999999999999</v>
      </c>
      <c r="AA4" s="12">
        <v>22.4</v>
      </c>
      <c r="AB4" s="12">
        <v>20.2</v>
      </c>
      <c r="AC4" s="12">
        <v>11</v>
      </c>
      <c r="AD4" s="12">
        <v>13.5</v>
      </c>
      <c r="AE4" s="12">
        <v>21.4</v>
      </c>
      <c r="AF4" s="12">
        <v>21.3</v>
      </c>
      <c r="AG4" s="12">
        <v>42.3</v>
      </c>
      <c r="AH4" s="12">
        <v>17.899999999999999</v>
      </c>
      <c r="AI4" s="12">
        <v>63.3</v>
      </c>
      <c r="AJ4" s="12">
        <v>62.8</v>
      </c>
      <c r="AK4" s="12">
        <v>108.4</v>
      </c>
      <c r="AL4" s="12">
        <v>103.9</v>
      </c>
      <c r="AM4" s="12">
        <v>68.3</v>
      </c>
      <c r="AN4" s="12">
        <v>132.9</v>
      </c>
      <c r="AO4" s="12">
        <v>88.6</v>
      </c>
      <c r="AP4" s="12">
        <v>54.2</v>
      </c>
      <c r="AQ4" s="12">
        <v>49.6</v>
      </c>
      <c r="AR4" s="12">
        <v>77</v>
      </c>
      <c r="AS4" s="14">
        <v>19.399999999999999</v>
      </c>
      <c r="AT4" s="12">
        <v>52.9</v>
      </c>
      <c r="AU4" s="12">
        <v>73.7</v>
      </c>
      <c r="AV4" s="9" t="s">
        <v>5</v>
      </c>
      <c r="AW4" s="6">
        <v>0.63500000000000001</v>
      </c>
      <c r="AX4" s="1"/>
    </row>
    <row r="5" spans="1:50" s="7" customFormat="1" x14ac:dyDescent="0.3">
      <c r="A5" s="15" t="s">
        <v>11</v>
      </c>
      <c r="B5" s="16">
        <v>171.64182499999998</v>
      </c>
      <c r="C5" s="16">
        <v>310.21966499999996</v>
      </c>
      <c r="D5" s="16">
        <v>363.64041999999995</v>
      </c>
      <c r="E5" s="16">
        <v>186.99830500000002</v>
      </c>
      <c r="F5" s="16">
        <v>238.1</v>
      </c>
      <c r="G5" s="16">
        <v>160.5</v>
      </c>
      <c r="H5" s="16">
        <v>472.66238499999997</v>
      </c>
      <c r="I5" s="16">
        <v>177.36550499999998</v>
      </c>
      <c r="J5" s="16">
        <v>164.46472999999997</v>
      </c>
      <c r="K5" s="16">
        <v>163.85135500000001</v>
      </c>
      <c r="L5" s="16">
        <v>437.85403500000001</v>
      </c>
      <c r="M5" s="16">
        <v>120.35851</v>
      </c>
      <c r="N5" s="17">
        <v>246</v>
      </c>
      <c r="O5" s="16">
        <v>565.64093500000001</v>
      </c>
      <c r="P5" s="17">
        <v>308.5</v>
      </c>
      <c r="Q5" s="17">
        <v>202</v>
      </c>
      <c r="R5" s="17">
        <v>192</v>
      </c>
      <c r="S5" s="17">
        <v>338.97500000000002</v>
      </c>
      <c r="T5" s="16">
        <v>781.53499999999997</v>
      </c>
      <c r="U5" s="16">
        <v>120.35851</v>
      </c>
      <c r="V5" s="16">
        <v>565.64093500000001</v>
      </c>
      <c r="W5" s="16">
        <v>307.78305999999998</v>
      </c>
      <c r="X5" s="16">
        <v>546.11</v>
      </c>
      <c r="Y5" s="16">
        <v>454.74</v>
      </c>
      <c r="Z5" s="16">
        <v>386.6</v>
      </c>
      <c r="AA5" s="16">
        <v>332.9</v>
      </c>
      <c r="AB5" s="16">
        <v>337</v>
      </c>
      <c r="AC5" s="16">
        <v>525.70000000000005</v>
      </c>
      <c r="AD5" s="16">
        <v>391.3</v>
      </c>
      <c r="AE5" s="16">
        <v>322</v>
      </c>
      <c r="AF5" s="16">
        <v>682.5</v>
      </c>
      <c r="AG5" s="16">
        <v>759.5</v>
      </c>
      <c r="AH5" s="16">
        <v>245</v>
      </c>
      <c r="AI5" s="16">
        <v>1164.0999999999999</v>
      </c>
      <c r="AJ5" s="16">
        <v>844.5</v>
      </c>
      <c r="AK5" s="16">
        <v>748.3</v>
      </c>
      <c r="AL5" s="16">
        <v>1571.3</v>
      </c>
      <c r="AM5" s="16">
        <v>1358.2</v>
      </c>
      <c r="AN5" s="16">
        <v>1346.8</v>
      </c>
      <c r="AO5" s="16">
        <v>1044.0999999999999</v>
      </c>
      <c r="AP5" s="16">
        <v>937.9</v>
      </c>
      <c r="AQ5" s="16">
        <v>999</v>
      </c>
      <c r="AR5" s="16">
        <v>834.4</v>
      </c>
      <c r="AS5" s="18">
        <v>679</v>
      </c>
      <c r="AT5" s="16">
        <v>990.7</v>
      </c>
      <c r="AU5" s="16">
        <v>870.9</v>
      </c>
      <c r="AV5" s="19" t="s">
        <v>11</v>
      </c>
      <c r="AW5" s="20">
        <v>6.9889999999999999</v>
      </c>
      <c r="AX5" s="1"/>
    </row>
    <row r="6" spans="1:50" x14ac:dyDescent="0.3">
      <c r="A6" s="11" t="s">
        <v>23</v>
      </c>
      <c r="B6" s="12">
        <v>1.2677900000000002</v>
      </c>
      <c r="C6" s="12">
        <v>1.1609500000000001</v>
      </c>
      <c r="D6" s="12">
        <v>1.51511</v>
      </c>
      <c r="E6" s="12">
        <v>1.5115400000000001</v>
      </c>
      <c r="F6" s="12"/>
      <c r="G6" s="12">
        <v>1.5</v>
      </c>
      <c r="H6" s="12"/>
      <c r="I6" s="12"/>
      <c r="J6" s="12"/>
      <c r="K6" s="12"/>
      <c r="L6" s="12"/>
      <c r="M6" s="12">
        <v>2.199735</v>
      </c>
      <c r="N6" s="12">
        <v>2.745355</v>
      </c>
      <c r="O6" s="12">
        <v>11.570184999999999</v>
      </c>
      <c r="P6" s="12">
        <v>4.981185</v>
      </c>
      <c r="Q6" s="12">
        <v>2.78477</v>
      </c>
      <c r="R6" s="12">
        <v>3.0230250000000001</v>
      </c>
      <c r="S6" s="12">
        <v>6.3031799999999993</v>
      </c>
      <c r="T6" s="12">
        <v>12.940645</v>
      </c>
      <c r="U6" s="12">
        <v>2.199735</v>
      </c>
      <c r="V6" s="12">
        <v>11.570184999999999</v>
      </c>
      <c r="W6" s="12">
        <v>5.1997850000000003</v>
      </c>
      <c r="X6" s="12">
        <v>6.45</v>
      </c>
      <c r="Y6" s="12">
        <v>5.13</v>
      </c>
      <c r="Z6" s="12">
        <v>3.61</v>
      </c>
      <c r="AA6" s="12">
        <v>5.13</v>
      </c>
      <c r="AB6" s="12">
        <v>4.2699999999999996</v>
      </c>
      <c r="AC6" s="12">
        <v>4.87</v>
      </c>
      <c r="AD6" s="12">
        <v>5.1100000000000003</v>
      </c>
      <c r="AE6" s="12">
        <v>3.83</v>
      </c>
      <c r="AF6" s="12">
        <v>9.1</v>
      </c>
      <c r="AG6" s="12">
        <v>8.16</v>
      </c>
      <c r="AH6" s="12">
        <v>2.63</v>
      </c>
      <c r="AI6" s="12">
        <v>12.16</v>
      </c>
      <c r="AJ6" s="12">
        <v>10.1</v>
      </c>
      <c r="AK6" s="12">
        <v>14.47</v>
      </c>
      <c r="AL6" s="12">
        <v>30.56</v>
      </c>
      <c r="AM6" s="12">
        <v>17.95</v>
      </c>
      <c r="AN6" s="12">
        <v>31.06</v>
      </c>
      <c r="AO6" s="12">
        <v>18.16</v>
      </c>
      <c r="AP6" s="12">
        <v>9.4</v>
      </c>
      <c r="AQ6" s="12"/>
      <c r="AR6" s="12"/>
      <c r="AS6" s="14">
        <v>2.77</v>
      </c>
      <c r="AT6" s="12">
        <v>8.6</v>
      </c>
      <c r="AU6" s="12">
        <v>8</v>
      </c>
      <c r="AV6" s="9" t="s">
        <v>23</v>
      </c>
      <c r="AW6" s="6">
        <v>8.5000000000000006E-2</v>
      </c>
      <c r="AX6" s="1"/>
    </row>
    <row r="7" spans="1:50" x14ac:dyDescent="0.3">
      <c r="A7" s="11" t="s">
        <v>24</v>
      </c>
      <c r="B7" s="12">
        <v>0.40451499999999996</v>
      </c>
      <c r="C7" s="12">
        <v>0.36422500000000002</v>
      </c>
      <c r="D7" s="12">
        <v>0.34851500000000002</v>
      </c>
      <c r="E7" s="12">
        <v>0.32169500000000001</v>
      </c>
      <c r="F7" s="12"/>
      <c r="G7" s="12">
        <v>0.3</v>
      </c>
      <c r="H7" s="12"/>
      <c r="I7" s="12"/>
      <c r="J7" s="12"/>
      <c r="K7" s="12"/>
      <c r="L7" s="12"/>
      <c r="M7" s="12">
        <v>0.65537999999999996</v>
      </c>
      <c r="N7" s="12">
        <v>0.71817500000000001</v>
      </c>
      <c r="O7" s="12">
        <v>3.0673599999999999</v>
      </c>
      <c r="P7" s="12">
        <v>1.263555</v>
      </c>
      <c r="Q7" s="12">
        <v>0.63069500000000001</v>
      </c>
      <c r="R7" s="12">
        <v>0.83613999999999999</v>
      </c>
      <c r="S7" s="12">
        <v>1.4624950000000001</v>
      </c>
      <c r="T7" s="12">
        <v>2.8209999999999997</v>
      </c>
      <c r="U7" s="12">
        <v>0.65537999999999996</v>
      </c>
      <c r="V7" s="12">
        <v>3.0673599999999999</v>
      </c>
      <c r="W7" s="12">
        <v>1.03664</v>
      </c>
      <c r="X7" s="12">
        <v>1.95</v>
      </c>
      <c r="Y7" s="12">
        <v>1.63</v>
      </c>
      <c r="Z7" s="12">
        <v>1.24</v>
      </c>
      <c r="AA7" s="12">
        <v>1.37</v>
      </c>
      <c r="AB7" s="12">
        <v>1.28</v>
      </c>
      <c r="AC7" s="12">
        <v>1.33</v>
      </c>
      <c r="AD7" s="12">
        <v>1.8</v>
      </c>
      <c r="AE7" s="12">
        <v>1.2</v>
      </c>
      <c r="AF7" s="12">
        <v>2.91</v>
      </c>
      <c r="AG7" s="12">
        <v>3.2</v>
      </c>
      <c r="AH7" s="12">
        <v>0.7</v>
      </c>
      <c r="AI7" s="12">
        <v>2.69</v>
      </c>
      <c r="AJ7" s="12">
        <v>2.68</v>
      </c>
      <c r="AK7" s="12">
        <v>4.2</v>
      </c>
      <c r="AL7" s="12">
        <v>6.97</v>
      </c>
      <c r="AM7" s="12">
        <v>3.48</v>
      </c>
      <c r="AN7" s="12">
        <v>6.02</v>
      </c>
      <c r="AO7" s="12">
        <v>4.3899999999999997</v>
      </c>
      <c r="AP7" s="12">
        <v>2.1</v>
      </c>
      <c r="AQ7" s="12"/>
      <c r="AR7" s="12"/>
      <c r="AS7" s="12"/>
      <c r="AT7" s="12">
        <v>2</v>
      </c>
      <c r="AU7" s="12">
        <v>1.8</v>
      </c>
      <c r="AV7" s="9" t="s">
        <v>24</v>
      </c>
      <c r="AW7" s="6">
        <v>2.1000000000000001E-2</v>
      </c>
      <c r="AX7" s="1"/>
    </row>
    <row r="8" spans="1:50" x14ac:dyDescent="0.3">
      <c r="A8" s="11" t="s">
        <v>9</v>
      </c>
      <c r="B8" s="12">
        <v>12.786315</v>
      </c>
      <c r="C8" s="12">
        <v>11.888055</v>
      </c>
      <c r="D8" s="12">
        <v>8.7805749999999989</v>
      </c>
      <c r="E8" s="12">
        <v>8.5939750000000004</v>
      </c>
      <c r="F8" s="12">
        <v>14.6</v>
      </c>
      <c r="G8" s="12">
        <v>7.02</v>
      </c>
      <c r="H8" s="12">
        <v>16.382719999999999</v>
      </c>
      <c r="I8" s="12">
        <v>5.06487</v>
      </c>
      <c r="J8" s="12">
        <v>4.7091650000000005</v>
      </c>
      <c r="K8" s="12">
        <v>4.6604150000000004</v>
      </c>
      <c r="L8" s="12">
        <v>12.1609</v>
      </c>
      <c r="M8" s="12">
        <v>13.838640000000002</v>
      </c>
      <c r="N8" s="12">
        <v>23.721205000000001</v>
      </c>
      <c r="O8" s="12">
        <v>44.300145000000001</v>
      </c>
      <c r="P8" s="12">
        <v>26.437694999999998</v>
      </c>
      <c r="Q8" s="12">
        <v>21.60427</v>
      </c>
      <c r="R8" s="12">
        <v>20.495775000000002</v>
      </c>
      <c r="S8" s="12">
        <v>25.067679999999999</v>
      </c>
      <c r="T8" s="12">
        <v>32.655074999999997</v>
      </c>
      <c r="U8" s="12">
        <v>13.83864</v>
      </c>
      <c r="V8" s="12">
        <v>44.300145000000001</v>
      </c>
      <c r="W8" s="12">
        <v>26.175995</v>
      </c>
      <c r="X8" s="12">
        <v>33.17</v>
      </c>
      <c r="Y8" s="12">
        <v>26.2</v>
      </c>
      <c r="Z8" s="12">
        <v>57.1</v>
      </c>
      <c r="AA8" s="12">
        <v>73.2</v>
      </c>
      <c r="AB8" s="12">
        <v>64</v>
      </c>
      <c r="AC8" s="12">
        <v>72.400000000000006</v>
      </c>
      <c r="AD8" s="12">
        <v>63.7</v>
      </c>
      <c r="AE8" s="12">
        <v>48.9</v>
      </c>
      <c r="AF8" s="12">
        <v>101.2</v>
      </c>
      <c r="AG8" s="12">
        <v>98.7</v>
      </c>
      <c r="AH8" s="12">
        <v>31.9</v>
      </c>
      <c r="AI8" s="12">
        <v>7.5</v>
      </c>
      <c r="AJ8" s="12">
        <v>15.8</v>
      </c>
      <c r="AK8" s="12">
        <v>9.6999999999999993</v>
      </c>
      <c r="AL8" s="12">
        <v>20.7</v>
      </c>
      <c r="AM8" s="12">
        <v>8.5</v>
      </c>
      <c r="AN8" s="12">
        <v>10.5</v>
      </c>
      <c r="AO8" s="12">
        <v>8.6999999999999993</v>
      </c>
      <c r="AP8" s="12">
        <v>92.6</v>
      </c>
      <c r="AQ8" s="12">
        <v>110</v>
      </c>
      <c r="AR8" s="12">
        <v>97.1</v>
      </c>
      <c r="AS8" s="14">
        <v>67.3</v>
      </c>
      <c r="AT8" s="12">
        <v>116.3</v>
      </c>
      <c r="AU8" s="12">
        <v>97.7</v>
      </c>
      <c r="AV8" s="9" t="s">
        <v>9</v>
      </c>
      <c r="AW8" s="6">
        <v>0.71299999999999997</v>
      </c>
      <c r="AX8" s="1"/>
    </row>
    <row r="9" spans="1:50" x14ac:dyDescent="0.3">
      <c r="A9" s="11" t="s">
        <v>21</v>
      </c>
      <c r="B9" s="12">
        <v>0.90288499999999994</v>
      </c>
      <c r="C9" s="12">
        <v>0.94267000000000001</v>
      </c>
      <c r="D9" s="12">
        <v>0.81296000000000002</v>
      </c>
      <c r="E9" s="12">
        <v>0.72636000000000001</v>
      </c>
      <c r="F9" s="12"/>
      <c r="G9" s="12">
        <v>0.8</v>
      </c>
      <c r="H9" s="12"/>
      <c r="I9" s="12"/>
      <c r="J9" s="12"/>
      <c r="K9" s="12"/>
      <c r="L9" s="12"/>
      <c r="M9" s="12"/>
      <c r="N9" s="12">
        <v>1.4837899999999999</v>
      </c>
      <c r="O9" s="12"/>
      <c r="P9" s="12">
        <v>1.3456649999999999</v>
      </c>
      <c r="Q9" s="12">
        <v>1.3043499999999999</v>
      </c>
      <c r="R9" s="12">
        <v>1.1702600000000001</v>
      </c>
      <c r="S9" s="12">
        <v>1.23366</v>
      </c>
      <c r="T9" s="12">
        <v>1.55687</v>
      </c>
      <c r="U9" s="12"/>
      <c r="V9" s="12"/>
      <c r="W9" s="12"/>
      <c r="X9" s="12">
        <v>1.51</v>
      </c>
      <c r="Y9" s="12">
        <v>1.1000000000000001</v>
      </c>
      <c r="Z9" s="12">
        <v>3.3</v>
      </c>
      <c r="AA9" s="12">
        <v>4.3099999999999996</v>
      </c>
      <c r="AB9" s="12">
        <v>3.71</v>
      </c>
      <c r="AC9" s="12">
        <v>4.22</v>
      </c>
      <c r="AD9" s="12">
        <v>4.04</v>
      </c>
      <c r="AE9" s="12">
        <v>3.11</v>
      </c>
      <c r="AF9" s="12">
        <v>6.68</v>
      </c>
      <c r="AG9" s="12">
        <v>6.23</v>
      </c>
      <c r="AH9" s="12">
        <v>2.11</v>
      </c>
      <c r="AI9" s="12">
        <v>0.53</v>
      </c>
      <c r="AJ9" s="12">
        <v>0.98</v>
      </c>
      <c r="AK9" s="12">
        <v>0.89</v>
      </c>
      <c r="AL9" s="12">
        <v>1.37</v>
      </c>
      <c r="AM9" s="12">
        <v>0.56000000000000005</v>
      </c>
      <c r="AN9" s="12">
        <v>0.78</v>
      </c>
      <c r="AO9" s="12">
        <v>0.76</v>
      </c>
      <c r="AP9" s="12">
        <v>5.3</v>
      </c>
      <c r="AQ9" s="12"/>
      <c r="AR9" s="12"/>
      <c r="AS9" s="14">
        <v>4.0599999999999996</v>
      </c>
      <c r="AT9" s="12">
        <v>5.2</v>
      </c>
      <c r="AU9" s="12">
        <v>5.8</v>
      </c>
      <c r="AV9" s="9" t="s">
        <v>21</v>
      </c>
      <c r="AW9" s="6">
        <v>4.1000000000000002E-2</v>
      </c>
    </row>
    <row r="10" spans="1:50" x14ac:dyDescent="0.3">
      <c r="A10" s="11" t="s">
        <v>3</v>
      </c>
      <c r="B10" s="12">
        <v>0.93118192564811308</v>
      </c>
      <c r="C10" s="12">
        <v>0.62173092199906088</v>
      </c>
      <c r="D10" s="12">
        <v>0.63625791749606508</v>
      </c>
      <c r="E10" s="12">
        <v>0.6540796587162292</v>
      </c>
      <c r="F10" s="12">
        <v>0.95751559882236603</v>
      </c>
      <c r="G10" s="12">
        <v>0.57418541533232881</v>
      </c>
      <c r="H10" s="12">
        <v>3.2931686397808702</v>
      </c>
      <c r="I10" s="12">
        <v>0.456779550877638</v>
      </c>
      <c r="J10" s="12">
        <v>0.35898763421375401</v>
      </c>
      <c r="K10" s="12">
        <v>0.36566602486635003</v>
      </c>
      <c r="L10" s="12">
        <v>2.6539195747809554</v>
      </c>
      <c r="M10" s="12">
        <v>0.9887575734340841</v>
      </c>
      <c r="N10" s="12">
        <v>1.8597406480081917</v>
      </c>
      <c r="O10" s="12">
        <v>1.1772308339424022</v>
      </c>
      <c r="P10" s="12">
        <v>1.2814790035536612</v>
      </c>
      <c r="Q10" s="12">
        <v>1.6661180166642469</v>
      </c>
      <c r="R10" s="12">
        <v>1.0760120784135747</v>
      </c>
      <c r="S10" s="12">
        <v>0.70640449050350518</v>
      </c>
      <c r="T10" s="12">
        <v>0.82943852838434018</v>
      </c>
      <c r="U10" s="12">
        <v>0.97885254139565059</v>
      </c>
      <c r="V10" s="12">
        <v>1.1653708280631134</v>
      </c>
      <c r="W10" s="12">
        <v>1.4690623021350648</v>
      </c>
      <c r="X10" s="12">
        <v>2.1508195248641635</v>
      </c>
      <c r="Y10" s="12">
        <v>1.6542168823646306</v>
      </c>
      <c r="Z10" s="12">
        <v>2.1650326797385615</v>
      </c>
      <c r="AA10" s="12">
        <v>1.6122364613476645</v>
      </c>
      <c r="AB10" s="12">
        <v>1.6701244813278016</v>
      </c>
      <c r="AC10" s="12">
        <v>0.82105263157894715</v>
      </c>
      <c r="AD10" s="12">
        <v>1.607978831671077</v>
      </c>
      <c r="AE10" s="12">
        <v>1.6311038161674187</v>
      </c>
      <c r="AF10" s="12">
        <v>1.5325670498084292</v>
      </c>
      <c r="AG10" s="12">
        <v>1.6132325913824792</v>
      </c>
      <c r="AH10" s="12">
        <v>1.6472966144517436</v>
      </c>
      <c r="AI10" s="12">
        <v>1.8864158099610739</v>
      </c>
      <c r="AJ10" s="12">
        <v>1.8645434388228184</v>
      </c>
      <c r="AK10" s="12">
        <v>2.6548672566371678</v>
      </c>
      <c r="AL10" s="12">
        <v>3.1707806542243628</v>
      </c>
      <c r="AM10" s="12">
        <v>1.8440569252355175</v>
      </c>
      <c r="AN10" s="12">
        <v>3.5998368345910672</v>
      </c>
      <c r="AO10" s="12">
        <v>1.9686621132985138</v>
      </c>
      <c r="AP10" s="12">
        <v>2.3658588370893869</v>
      </c>
      <c r="AQ10" s="12">
        <v>1.7158579797549065</v>
      </c>
      <c r="AR10" s="12">
        <v>3.5236436488840117</v>
      </c>
      <c r="AS10" s="12">
        <v>1.9633642400444069</v>
      </c>
      <c r="AT10" s="12">
        <v>2.3612270238361792</v>
      </c>
      <c r="AU10" s="12">
        <v>3.4694288012872083</v>
      </c>
      <c r="AV10" s="5" t="s">
        <v>85</v>
      </c>
      <c r="AW10" s="6">
        <v>240</v>
      </c>
    </row>
    <row r="11" spans="1:50" x14ac:dyDescent="0.3">
      <c r="A11" s="11" t="s">
        <v>12</v>
      </c>
      <c r="B11" s="12">
        <v>18.327615000000002</v>
      </c>
      <c r="C11" s="12">
        <v>17.425319999999999</v>
      </c>
      <c r="D11" s="12">
        <v>13.954415000000001</v>
      </c>
      <c r="E11" s="12">
        <v>13.86373</v>
      </c>
      <c r="F11" s="12">
        <v>19.7</v>
      </c>
      <c r="G11" s="12">
        <v>13.3</v>
      </c>
      <c r="H11" s="12">
        <v>31.761524999999999</v>
      </c>
      <c r="I11" s="12">
        <v>10.49611</v>
      </c>
      <c r="J11" s="12">
        <v>9.9468750000000004</v>
      </c>
      <c r="K11" s="12">
        <v>9.8731150000000003</v>
      </c>
      <c r="L11" s="12">
        <v>28.162644999999998</v>
      </c>
      <c r="M11" s="12">
        <v>13.082429999999999</v>
      </c>
      <c r="N11" s="12">
        <v>19.051364999999997</v>
      </c>
      <c r="O11" s="12">
        <v>62.909669999999998</v>
      </c>
      <c r="P11" s="12">
        <v>28.116109999999999</v>
      </c>
      <c r="Q11" s="12">
        <v>18.757000000000001</v>
      </c>
      <c r="R11" s="12">
        <v>18.524459999999998</v>
      </c>
      <c r="S11" s="12">
        <v>33.686835000000002</v>
      </c>
      <c r="T11" s="12">
        <v>62.794004999999999</v>
      </c>
      <c r="U11" s="12">
        <v>13.08243</v>
      </c>
      <c r="V11" s="12">
        <v>62.909669999999998</v>
      </c>
      <c r="W11" s="12">
        <v>30.035265000000003</v>
      </c>
      <c r="X11" s="12">
        <v>57.01</v>
      </c>
      <c r="Y11" s="12">
        <v>44.24</v>
      </c>
      <c r="Z11" s="12">
        <v>25.16</v>
      </c>
      <c r="AA11" s="12">
        <v>31.78</v>
      </c>
      <c r="AB11" s="12">
        <v>28.19</v>
      </c>
      <c r="AC11" s="12">
        <v>31.14</v>
      </c>
      <c r="AD11" s="12">
        <v>38.18</v>
      </c>
      <c r="AE11" s="12">
        <v>29.23</v>
      </c>
      <c r="AF11" s="12">
        <v>70.209999999999994</v>
      </c>
      <c r="AG11" s="12">
        <v>63.37</v>
      </c>
      <c r="AH11" s="12">
        <v>20</v>
      </c>
      <c r="AI11" s="12">
        <v>31.92</v>
      </c>
      <c r="AJ11" s="12">
        <v>59.89</v>
      </c>
      <c r="AK11" s="12">
        <v>29.33</v>
      </c>
      <c r="AL11" s="12">
        <v>53.04</v>
      </c>
      <c r="AM11" s="12">
        <v>52.15</v>
      </c>
      <c r="AN11" s="12">
        <v>59.18</v>
      </c>
      <c r="AO11" s="12">
        <v>42.74</v>
      </c>
      <c r="AP11" s="12">
        <v>74.099999999999994</v>
      </c>
      <c r="AQ11" s="12">
        <v>62.3</v>
      </c>
      <c r="AR11" s="12">
        <v>49.4</v>
      </c>
      <c r="AS11" s="14">
        <v>61.94</v>
      </c>
      <c r="AT11" s="12">
        <v>72.599999999999994</v>
      </c>
      <c r="AU11" s="12">
        <v>53.3</v>
      </c>
      <c r="AV11" s="9" t="s">
        <v>12</v>
      </c>
      <c r="AW11" s="6">
        <v>0.68700000000000006</v>
      </c>
    </row>
    <row r="12" spans="1:50" x14ac:dyDescent="0.3">
      <c r="A12" s="11" t="s">
        <v>13</v>
      </c>
      <c r="B12" s="12">
        <v>41.838395000000006</v>
      </c>
      <c r="C12" s="12">
        <v>39.723240000000004</v>
      </c>
      <c r="D12" s="12">
        <v>31.542974999999998</v>
      </c>
      <c r="E12" s="12">
        <v>31.338909999999998</v>
      </c>
      <c r="F12" s="12">
        <v>41</v>
      </c>
      <c r="G12" s="12">
        <v>29.5</v>
      </c>
      <c r="H12" s="12">
        <v>54.283924999999996</v>
      </c>
      <c r="I12" s="12">
        <v>23.106755</v>
      </c>
      <c r="J12" s="12">
        <v>21.661414999999998</v>
      </c>
      <c r="K12" s="12">
        <v>21.57159</v>
      </c>
      <c r="L12" s="12">
        <v>47.896549999999998</v>
      </c>
      <c r="M12" s="12">
        <v>27.997104999999998</v>
      </c>
      <c r="N12" s="12">
        <v>40.173744999999997</v>
      </c>
      <c r="O12" s="12">
        <v>122.831065</v>
      </c>
      <c r="P12" s="12">
        <v>55.723484999999997</v>
      </c>
      <c r="Q12" s="12">
        <v>38.489779999999996</v>
      </c>
      <c r="R12" s="12">
        <v>38.343604999999997</v>
      </c>
      <c r="S12" s="12">
        <v>68.063124999999999</v>
      </c>
      <c r="T12" s="12">
        <v>123.43442999999999</v>
      </c>
      <c r="U12" s="12">
        <v>27.997105000000001</v>
      </c>
      <c r="V12" s="12">
        <v>122.831065</v>
      </c>
      <c r="W12" s="12">
        <v>60.160294999999998</v>
      </c>
      <c r="X12" s="12">
        <v>115.01</v>
      </c>
      <c r="Y12" s="12">
        <v>90.15</v>
      </c>
      <c r="Z12" s="12">
        <v>53.26</v>
      </c>
      <c r="AA12" s="12">
        <v>67.239999999999995</v>
      </c>
      <c r="AB12" s="12">
        <v>60.23</v>
      </c>
      <c r="AC12" s="12">
        <v>64.900000000000006</v>
      </c>
      <c r="AD12" s="12">
        <v>79.13</v>
      </c>
      <c r="AE12" s="12">
        <v>61.32</v>
      </c>
      <c r="AF12" s="12">
        <v>135.13999999999999</v>
      </c>
      <c r="AG12" s="12">
        <v>120.53</v>
      </c>
      <c r="AH12" s="12">
        <v>42.86</v>
      </c>
      <c r="AI12" s="12">
        <v>62.67</v>
      </c>
      <c r="AJ12" s="12">
        <v>118.77</v>
      </c>
      <c r="AK12" s="12">
        <v>57.14</v>
      </c>
      <c r="AL12" s="12">
        <v>101.62</v>
      </c>
      <c r="AM12" s="12">
        <v>100.19</v>
      </c>
      <c r="AN12" s="12">
        <v>112.31</v>
      </c>
      <c r="AO12" s="12">
        <v>85.23</v>
      </c>
      <c r="AP12" s="12">
        <v>134.80000000000001</v>
      </c>
      <c r="AQ12" s="12">
        <v>123</v>
      </c>
      <c r="AR12" s="12">
        <v>92.5</v>
      </c>
      <c r="AS12" s="14">
        <v>136.04</v>
      </c>
      <c r="AT12" s="12">
        <v>138.1</v>
      </c>
      <c r="AU12" s="12">
        <v>96.1</v>
      </c>
      <c r="AV12" s="9" t="s">
        <v>13</v>
      </c>
      <c r="AW12" s="6">
        <v>1.7749999999999999</v>
      </c>
    </row>
    <row r="13" spans="1:50" x14ac:dyDescent="0.3">
      <c r="A13" s="11" t="s">
        <v>22</v>
      </c>
      <c r="B13" s="12">
        <v>3.3795500000000001</v>
      </c>
      <c r="C13" s="12">
        <v>3.1082850000000004</v>
      </c>
      <c r="D13" s="12">
        <v>2.5784199999999999</v>
      </c>
      <c r="E13" s="12">
        <v>2.6636449999999998</v>
      </c>
      <c r="F13" s="12"/>
      <c r="G13" s="12">
        <v>5</v>
      </c>
      <c r="H13" s="12"/>
      <c r="I13" s="12"/>
      <c r="J13" s="12"/>
      <c r="K13" s="12"/>
      <c r="L13" s="12"/>
      <c r="M13" s="12">
        <v>1.7688299999999999</v>
      </c>
      <c r="N13" s="12">
        <v>3.6151249999999999</v>
      </c>
      <c r="O13" s="12">
        <v>7.5961549999999995</v>
      </c>
      <c r="P13" s="12">
        <v>4.4008000000000003</v>
      </c>
      <c r="Q13" s="12">
        <v>2.2159800000000001</v>
      </c>
      <c r="R13" s="12">
        <v>2.5241949999999997</v>
      </c>
      <c r="S13" s="12">
        <v>4.7723800000000001</v>
      </c>
      <c r="T13" s="12">
        <v>8.7908749999999998</v>
      </c>
      <c r="U13" s="12">
        <v>1.7688299999999999</v>
      </c>
      <c r="V13" s="12">
        <v>7.5961549999999995</v>
      </c>
      <c r="W13" s="12">
        <v>4.4284800000000004</v>
      </c>
      <c r="X13" s="12">
        <v>15.4</v>
      </c>
      <c r="Y13" s="12">
        <v>11.3</v>
      </c>
      <c r="Z13" s="12">
        <v>2.2000000000000002</v>
      </c>
      <c r="AA13" s="12">
        <v>1.9</v>
      </c>
      <c r="AB13" s="12">
        <v>2.7</v>
      </c>
      <c r="AC13" s="12">
        <v>1.8</v>
      </c>
      <c r="AD13" s="12">
        <v>1.1000000000000001</v>
      </c>
      <c r="AE13" s="12">
        <v>1.2</v>
      </c>
      <c r="AF13" s="12">
        <v>11.9</v>
      </c>
      <c r="AG13" s="12">
        <v>3.3</v>
      </c>
      <c r="AH13" s="12">
        <v>8.6999999999999993</v>
      </c>
      <c r="AI13" s="12">
        <v>25.9</v>
      </c>
      <c r="AJ13" s="12">
        <v>22.1</v>
      </c>
      <c r="AK13" s="12">
        <v>29.5</v>
      </c>
      <c r="AL13" s="12">
        <v>38.1</v>
      </c>
      <c r="AM13" s="12">
        <v>34.6</v>
      </c>
      <c r="AN13" s="12">
        <v>45.4</v>
      </c>
      <c r="AO13" s="12">
        <v>29.3</v>
      </c>
      <c r="AP13" s="12">
        <v>7</v>
      </c>
      <c r="AQ13" s="12"/>
      <c r="AR13" s="12"/>
      <c r="AS13" s="14"/>
      <c r="AT13" s="12">
        <v>6.1</v>
      </c>
      <c r="AU13" s="12">
        <v>4.0999999999999996</v>
      </c>
      <c r="AV13" s="10" t="s">
        <v>22</v>
      </c>
      <c r="AW13" s="6">
        <v>7.0999999999999994E-2</v>
      </c>
    </row>
    <row r="14" spans="1:50" s="7" customFormat="1" x14ac:dyDescent="0.3">
      <c r="A14" s="15" t="s">
        <v>6</v>
      </c>
      <c r="B14" s="16">
        <v>429.29943000000003</v>
      </c>
      <c r="C14" s="16">
        <v>436.03437500000001</v>
      </c>
      <c r="D14" s="16">
        <v>457.55299500000001</v>
      </c>
      <c r="E14" s="16">
        <v>449.27292499999999</v>
      </c>
      <c r="F14" s="16">
        <v>528.20000000000005</v>
      </c>
      <c r="G14" s="16">
        <v>365.6</v>
      </c>
      <c r="H14" s="16">
        <v>448.50315000000001</v>
      </c>
      <c r="I14" s="16">
        <v>391.48878000000002</v>
      </c>
      <c r="J14" s="16">
        <v>398.99802999999997</v>
      </c>
      <c r="K14" s="16">
        <v>391.54787499999998</v>
      </c>
      <c r="L14" s="16">
        <v>438.13966499999998</v>
      </c>
      <c r="M14" s="16">
        <v>353.28901500000001</v>
      </c>
      <c r="N14" s="17">
        <v>434</v>
      </c>
      <c r="O14" s="16">
        <v>1190.1166599999999</v>
      </c>
      <c r="P14" s="17">
        <v>654</v>
      </c>
      <c r="Q14" s="17">
        <v>611</v>
      </c>
      <c r="R14" s="17">
        <v>435.5</v>
      </c>
      <c r="S14" s="17">
        <v>643.23</v>
      </c>
      <c r="T14" s="16">
        <v>1166</v>
      </c>
      <c r="U14" s="16">
        <v>353.28901500000001</v>
      </c>
      <c r="V14" s="16">
        <v>1190.1166599999999</v>
      </c>
      <c r="W14" s="16">
        <v>670.31863999999996</v>
      </c>
      <c r="X14" s="16">
        <v>524.75</v>
      </c>
      <c r="Y14" s="16">
        <v>503.81</v>
      </c>
      <c r="Z14" s="16">
        <v>759.6</v>
      </c>
      <c r="AA14" s="16">
        <v>734.5</v>
      </c>
      <c r="AB14" s="16">
        <v>725.3</v>
      </c>
      <c r="AC14" s="16">
        <v>837.1</v>
      </c>
      <c r="AD14" s="16">
        <v>882.7</v>
      </c>
      <c r="AE14" s="16">
        <v>619.70000000000005</v>
      </c>
      <c r="AF14" s="16">
        <v>1077.4000000000001</v>
      </c>
      <c r="AG14" s="16">
        <v>1056.2</v>
      </c>
      <c r="AH14" s="16">
        <v>505.9</v>
      </c>
      <c r="AI14" s="16">
        <v>714.6</v>
      </c>
      <c r="AJ14" s="16">
        <v>797</v>
      </c>
      <c r="AK14" s="16">
        <v>441.4</v>
      </c>
      <c r="AL14" s="16">
        <v>907.8</v>
      </c>
      <c r="AM14" s="16">
        <v>944.8</v>
      </c>
      <c r="AN14" s="16">
        <v>760.9</v>
      </c>
      <c r="AO14" s="16">
        <v>849.8</v>
      </c>
      <c r="AP14" s="16">
        <v>1262</v>
      </c>
      <c r="AQ14" s="16">
        <v>1160</v>
      </c>
      <c r="AR14" s="16">
        <v>899.8</v>
      </c>
      <c r="AS14" s="18">
        <v>1248</v>
      </c>
      <c r="AT14" s="16">
        <v>1381.4</v>
      </c>
      <c r="AU14" s="16">
        <v>925.4</v>
      </c>
      <c r="AV14" s="19" t="s">
        <v>6</v>
      </c>
      <c r="AW14" s="20">
        <v>21.1</v>
      </c>
      <c r="AX14" s="1"/>
    </row>
    <row r="15" spans="1:50" x14ac:dyDescent="0.3">
      <c r="A15" s="11" t="s">
        <v>4</v>
      </c>
      <c r="B15" s="12">
        <v>0.40745923137765311</v>
      </c>
      <c r="C15" s="12">
        <v>0.3709451022404161</v>
      </c>
      <c r="D15" s="12">
        <v>0.29574752231330587</v>
      </c>
      <c r="E15" s="12">
        <v>0.28961152845387933</v>
      </c>
      <c r="F15" s="12">
        <v>0.47371824362790699</v>
      </c>
      <c r="G15" s="12">
        <v>0.41301056190571023</v>
      </c>
      <c r="H15" s="12">
        <v>0.22127265818165501</v>
      </c>
      <c r="I15" s="12">
        <v>0.22017382843964001</v>
      </c>
      <c r="J15" s="12">
        <v>0.18563688740399301</v>
      </c>
      <c r="K15" s="12">
        <v>0.20636478300506</v>
      </c>
      <c r="L15" s="12">
        <v>0.204152546329644</v>
      </c>
      <c r="M15" s="12">
        <v>0.23553900642691075</v>
      </c>
      <c r="N15" s="12">
        <v>0.37994701410920045</v>
      </c>
      <c r="O15" s="12">
        <v>0.88264407501952191</v>
      </c>
      <c r="P15" s="12">
        <v>0.47424813517340214</v>
      </c>
      <c r="Q15" s="12">
        <v>0.41902369281376273</v>
      </c>
      <c r="R15" s="12">
        <v>0.35196656770537488</v>
      </c>
      <c r="S15" s="12">
        <v>0.4676198739952781</v>
      </c>
      <c r="T15" s="12">
        <v>0.94935735176520863</v>
      </c>
      <c r="U15" s="12">
        <v>0.23317945797171513</v>
      </c>
      <c r="V15" s="12">
        <v>0.87375188190222608</v>
      </c>
      <c r="W15" s="12">
        <v>0.45302736045383601</v>
      </c>
      <c r="X15" s="12">
        <v>0</v>
      </c>
      <c r="Y15" s="12">
        <v>0</v>
      </c>
      <c r="Z15" s="12">
        <v>0.776143790849673</v>
      </c>
      <c r="AA15" s="12">
        <v>0.7131045886730053</v>
      </c>
      <c r="AB15" s="12">
        <v>0.71576763485477191</v>
      </c>
      <c r="AC15" s="12">
        <v>0.71578947368421031</v>
      </c>
      <c r="AD15" s="12">
        <v>0.81416649704864652</v>
      </c>
      <c r="AE15" s="12">
        <v>0.63602790315962243</v>
      </c>
      <c r="AF15" s="12">
        <v>1.2603347449082476</v>
      </c>
      <c r="AG15" s="12">
        <v>1.1129262813967735</v>
      </c>
      <c r="AH15" s="12">
        <v>0.49519959575543215</v>
      </c>
      <c r="AI15" s="12">
        <v>0.2395448647569618</v>
      </c>
      <c r="AJ15" s="12">
        <v>0.46361620640999807</v>
      </c>
      <c r="AK15" s="12">
        <v>0.13920652281992643</v>
      </c>
      <c r="AL15" s="12">
        <v>0.40136463977523579</v>
      </c>
      <c r="AM15" s="12">
        <v>0.29063940669472826</v>
      </c>
      <c r="AN15" s="12">
        <v>0.21415459922496435</v>
      </c>
      <c r="AO15" s="12">
        <v>0.22097227802330258</v>
      </c>
      <c r="AP15" s="12">
        <v>1.2233714499479309</v>
      </c>
      <c r="AQ15" s="12">
        <v>1.1777486724944921</v>
      </c>
      <c r="AR15" s="12">
        <v>0.82553936916711124</v>
      </c>
      <c r="AS15" s="12">
        <v>3.0838181780802203</v>
      </c>
      <c r="AT15" s="12">
        <v>1.1704358092291407</v>
      </c>
      <c r="AU15" s="12">
        <v>0.86484312148028963</v>
      </c>
      <c r="AV15" s="5" t="s">
        <v>86</v>
      </c>
      <c r="AW15" s="6">
        <v>92</v>
      </c>
    </row>
    <row r="16" spans="1:50" x14ac:dyDescent="0.3">
      <c r="A16" s="11" t="s">
        <v>14</v>
      </c>
      <c r="B16" s="12">
        <v>23.19689</v>
      </c>
      <c r="C16" s="12">
        <v>22.029325</v>
      </c>
      <c r="D16" s="12">
        <v>17.552084999999998</v>
      </c>
      <c r="E16" s="12">
        <v>17.304365000000001</v>
      </c>
      <c r="F16" s="12">
        <v>19.399999999999999</v>
      </c>
      <c r="G16" s="12">
        <v>17.8</v>
      </c>
      <c r="H16" s="12">
        <v>21.997509999999998</v>
      </c>
      <c r="I16" s="12">
        <v>13.070315000000001</v>
      </c>
      <c r="J16" s="12">
        <v>12.54941</v>
      </c>
      <c r="K16" s="12">
        <v>12.117435</v>
      </c>
      <c r="L16" s="12">
        <v>22.108609999999999</v>
      </c>
      <c r="M16" s="12">
        <v>14.544049999999999</v>
      </c>
      <c r="N16" s="12">
        <v>21.183330000000002</v>
      </c>
      <c r="O16" s="12">
        <v>48.948944999999995</v>
      </c>
      <c r="P16" s="12">
        <v>25.294560000000001</v>
      </c>
      <c r="Q16" s="12">
        <v>19.130675</v>
      </c>
      <c r="R16" s="12">
        <v>19.205370000000002</v>
      </c>
      <c r="S16" s="12">
        <v>30.066209999999998</v>
      </c>
      <c r="T16" s="12">
        <v>52.165835000000001</v>
      </c>
      <c r="U16" s="12">
        <v>14.54405</v>
      </c>
      <c r="V16" s="12">
        <v>48.948944999999995</v>
      </c>
      <c r="W16" s="12">
        <v>26.204999999999998</v>
      </c>
      <c r="X16" s="12">
        <v>46.63</v>
      </c>
      <c r="Y16" s="12">
        <v>37.74</v>
      </c>
      <c r="Z16" s="12">
        <v>28.35</v>
      </c>
      <c r="AA16" s="12">
        <v>35.43</v>
      </c>
      <c r="AB16" s="12">
        <v>32.01</v>
      </c>
      <c r="AC16" s="12">
        <v>34.21</v>
      </c>
      <c r="AD16" s="12">
        <v>42.31</v>
      </c>
      <c r="AE16" s="12">
        <v>32.86</v>
      </c>
      <c r="AF16" s="12">
        <v>65.62</v>
      </c>
      <c r="AG16" s="12">
        <v>59.93</v>
      </c>
      <c r="AH16" s="12">
        <v>25.36</v>
      </c>
      <c r="AI16" s="12">
        <v>28.84</v>
      </c>
      <c r="AJ16" s="12">
        <v>52.4</v>
      </c>
      <c r="AK16" s="12">
        <v>24.31</v>
      </c>
      <c r="AL16" s="12">
        <v>42.81</v>
      </c>
      <c r="AM16" s="12">
        <v>43.49</v>
      </c>
      <c r="AN16" s="12">
        <v>42.1</v>
      </c>
      <c r="AO16" s="12">
        <v>35.96</v>
      </c>
      <c r="AP16" s="12">
        <v>55.6</v>
      </c>
      <c r="AQ16" s="12">
        <v>48.3</v>
      </c>
      <c r="AR16" s="12">
        <v>36.4</v>
      </c>
      <c r="AS16" s="14">
        <v>66.349999999999994</v>
      </c>
      <c r="AT16" s="12">
        <v>51.5</v>
      </c>
      <c r="AU16" s="12">
        <v>37.299999999999997</v>
      </c>
      <c r="AV16" s="9" t="s">
        <v>14</v>
      </c>
      <c r="AW16" s="6">
        <v>1.3540000000000001</v>
      </c>
    </row>
    <row r="17" spans="1:50" x14ac:dyDescent="0.3">
      <c r="A17" s="11" t="s">
        <v>15</v>
      </c>
      <c r="B17" s="12">
        <v>5.4758200000000006</v>
      </c>
      <c r="C17" s="12">
        <v>5.27616</v>
      </c>
      <c r="D17" s="12">
        <v>4.3086400000000005</v>
      </c>
      <c r="E17" s="12">
        <v>4.2141099999999998</v>
      </c>
      <c r="F17" s="12">
        <v>4.32</v>
      </c>
      <c r="G17" s="12">
        <v>4.7</v>
      </c>
      <c r="H17" s="12">
        <v>4.2775499999999997</v>
      </c>
      <c r="I17" s="12">
        <v>3.4379200000000001</v>
      </c>
      <c r="J17" s="12">
        <v>3.2952950000000003</v>
      </c>
      <c r="K17" s="12">
        <v>3.2057000000000002</v>
      </c>
      <c r="L17" s="12">
        <v>4.4344149999999996</v>
      </c>
      <c r="M17" s="12">
        <v>3.5773200000000003</v>
      </c>
      <c r="N17" s="12">
        <v>4.8558249999999994</v>
      </c>
      <c r="O17" s="12">
        <v>8.5447100000000002</v>
      </c>
      <c r="P17" s="12">
        <v>4.9908850000000005</v>
      </c>
      <c r="Q17" s="12">
        <v>4.1528499999999999</v>
      </c>
      <c r="R17" s="12">
        <v>4.2845849999999999</v>
      </c>
      <c r="S17" s="12">
        <v>5.52</v>
      </c>
      <c r="T17" s="12">
        <v>8.4205249999999996</v>
      </c>
      <c r="U17" s="12">
        <v>3.5773199999999998</v>
      </c>
      <c r="V17" s="12">
        <v>8.5447100000000002</v>
      </c>
      <c r="W17" s="12">
        <v>5.3037399999999995</v>
      </c>
      <c r="X17" s="12">
        <v>8.92</v>
      </c>
      <c r="Y17" s="12">
        <v>7.37</v>
      </c>
      <c r="Z17" s="12">
        <v>6.42</v>
      </c>
      <c r="AA17" s="12">
        <v>7.58</v>
      </c>
      <c r="AB17" s="12">
        <v>6.98</v>
      </c>
      <c r="AC17" s="12">
        <v>7.46</v>
      </c>
      <c r="AD17" s="12">
        <v>8.44</v>
      </c>
      <c r="AE17" s="12">
        <v>7.35</v>
      </c>
      <c r="AF17" s="12">
        <v>12.4</v>
      </c>
      <c r="AG17" s="12">
        <v>11.35</v>
      </c>
      <c r="AH17" s="12">
        <v>6.01</v>
      </c>
      <c r="AI17" s="12">
        <v>5.31</v>
      </c>
      <c r="AJ17" s="12">
        <v>9.32</v>
      </c>
      <c r="AK17" s="12">
        <v>4.45</v>
      </c>
      <c r="AL17" s="12">
        <v>7.09</v>
      </c>
      <c r="AM17" s="12">
        <v>7.06</v>
      </c>
      <c r="AN17" s="12">
        <v>7.39</v>
      </c>
      <c r="AO17" s="12">
        <v>6.14</v>
      </c>
      <c r="AP17" s="12">
        <v>9.4</v>
      </c>
      <c r="AQ17" s="12">
        <v>8.1999999999999993</v>
      </c>
      <c r="AR17" s="12">
        <v>6.3</v>
      </c>
      <c r="AS17" s="14">
        <v>12.48</v>
      </c>
      <c r="AT17" s="12">
        <v>8.9</v>
      </c>
      <c r="AU17" s="12">
        <v>7.3</v>
      </c>
      <c r="AV17" s="9" t="s">
        <v>15</v>
      </c>
      <c r="AW17" s="6">
        <v>0.44400000000000001</v>
      </c>
    </row>
    <row r="18" spans="1:50" s="7" customFormat="1" x14ac:dyDescent="0.3">
      <c r="A18" s="15" t="s">
        <v>8</v>
      </c>
      <c r="B18" s="16">
        <v>242.215045</v>
      </c>
      <c r="C18" s="16">
        <v>228.22378</v>
      </c>
      <c r="D18" s="16">
        <v>181.15226999999999</v>
      </c>
      <c r="E18" s="16">
        <v>176.45263499999999</v>
      </c>
      <c r="F18" s="16">
        <v>228.2</v>
      </c>
      <c r="G18" s="16">
        <v>166.5</v>
      </c>
      <c r="H18" s="16">
        <v>153.539625</v>
      </c>
      <c r="I18" s="16">
        <v>134.94761</v>
      </c>
      <c r="J18" s="16">
        <v>125.41379000000001</v>
      </c>
      <c r="K18" s="16">
        <v>124.11772999999999</v>
      </c>
      <c r="L18" s="16">
        <v>150.11290500000001</v>
      </c>
      <c r="M18" s="16">
        <v>116.822385</v>
      </c>
      <c r="N18" s="17">
        <v>156</v>
      </c>
      <c r="O18" s="16">
        <v>214.25735500000002</v>
      </c>
      <c r="P18" s="17">
        <v>152</v>
      </c>
      <c r="Q18" s="17">
        <v>153</v>
      </c>
      <c r="R18" s="17">
        <v>142</v>
      </c>
      <c r="S18" s="17">
        <v>118.6</v>
      </c>
      <c r="T18" s="16">
        <v>155.22</v>
      </c>
      <c r="U18" s="16">
        <v>116.822385</v>
      </c>
      <c r="V18" s="16">
        <v>214.25735500000002</v>
      </c>
      <c r="W18" s="16">
        <v>135.29396500000001</v>
      </c>
      <c r="X18" s="16">
        <v>342.25</v>
      </c>
      <c r="Y18" s="16">
        <v>246.24</v>
      </c>
      <c r="Z18" s="16">
        <v>176.8</v>
      </c>
      <c r="AA18" s="16">
        <v>216.4</v>
      </c>
      <c r="AB18" s="16">
        <v>197.3</v>
      </c>
      <c r="AC18" s="16">
        <v>215.2</v>
      </c>
      <c r="AD18" s="16">
        <v>237</v>
      </c>
      <c r="AE18" s="16">
        <v>205.9</v>
      </c>
      <c r="AF18" s="16">
        <v>364.8</v>
      </c>
      <c r="AG18" s="16">
        <v>324.10000000000002</v>
      </c>
      <c r="AH18" s="16">
        <v>185.3</v>
      </c>
      <c r="AI18" s="16">
        <v>127.3</v>
      </c>
      <c r="AJ18" s="16">
        <v>167.4</v>
      </c>
      <c r="AK18" s="16">
        <v>148.19999999999999</v>
      </c>
      <c r="AL18" s="16">
        <v>252.3</v>
      </c>
      <c r="AM18" s="16">
        <v>184.7</v>
      </c>
      <c r="AN18" s="16">
        <v>187.4</v>
      </c>
      <c r="AO18" s="16">
        <v>143.30000000000001</v>
      </c>
      <c r="AP18" s="16">
        <v>261.89999999999998</v>
      </c>
      <c r="AQ18" s="16">
        <v>279.89999999999998</v>
      </c>
      <c r="AR18" s="16">
        <v>256</v>
      </c>
      <c r="AS18" s="18">
        <v>250.5</v>
      </c>
      <c r="AT18" s="16">
        <v>285</v>
      </c>
      <c r="AU18" s="16">
        <v>248.4</v>
      </c>
      <c r="AV18" s="19" t="s">
        <v>8</v>
      </c>
      <c r="AW18" s="20">
        <v>11.2</v>
      </c>
      <c r="AX18" s="1"/>
    </row>
    <row r="19" spans="1:50" x14ac:dyDescent="0.3">
      <c r="A19" s="11" t="s">
        <v>20</v>
      </c>
      <c r="B19" s="12">
        <v>5.1031649999999997</v>
      </c>
      <c r="C19" s="12">
        <v>4.9427750000000001</v>
      </c>
      <c r="D19" s="12">
        <v>4.2227600000000001</v>
      </c>
      <c r="E19" s="12">
        <v>4.1820500000000003</v>
      </c>
      <c r="F19" s="12"/>
      <c r="G19" s="12">
        <v>4.0999999999999996</v>
      </c>
      <c r="H19" s="12"/>
      <c r="I19" s="12"/>
      <c r="J19" s="12"/>
      <c r="K19" s="12"/>
      <c r="L19" s="12"/>
      <c r="M19" s="12">
        <v>2.6057550000000003</v>
      </c>
      <c r="N19" s="12">
        <v>3.9301849999999998</v>
      </c>
      <c r="O19" s="12">
        <v>3.9676849999999999</v>
      </c>
      <c r="P19" s="12">
        <v>2.7787100000000002</v>
      </c>
      <c r="Q19" s="12">
        <v>2.9895</v>
      </c>
      <c r="R19" s="12">
        <v>2.9398749999999998</v>
      </c>
      <c r="S19" s="12">
        <v>2.5168949999999999</v>
      </c>
      <c r="T19" s="12">
        <v>2.6379349999999997</v>
      </c>
      <c r="U19" s="12">
        <v>2.6057549999999998</v>
      </c>
      <c r="V19" s="12">
        <v>3.9676849999999999</v>
      </c>
      <c r="W19" s="12">
        <v>2.8496350000000001</v>
      </c>
      <c r="X19" s="12">
        <v>6.95</v>
      </c>
      <c r="Y19" s="12">
        <v>5.03</v>
      </c>
      <c r="Z19" s="12">
        <v>4.6100000000000003</v>
      </c>
      <c r="AA19" s="12">
        <v>4.88</v>
      </c>
      <c r="AB19" s="12">
        <v>4.72</v>
      </c>
      <c r="AC19" s="12">
        <v>4.97</v>
      </c>
      <c r="AD19" s="12">
        <v>5.84</v>
      </c>
      <c r="AE19" s="12">
        <v>5.1100000000000003</v>
      </c>
      <c r="AF19" s="12">
        <v>7.91</v>
      </c>
      <c r="AG19" s="12">
        <v>7.47</v>
      </c>
      <c r="AH19" s="12">
        <v>4.34</v>
      </c>
      <c r="AI19" s="12">
        <v>3.22</v>
      </c>
      <c r="AJ19" s="12">
        <v>3.5</v>
      </c>
      <c r="AK19" s="12">
        <v>4</v>
      </c>
      <c r="AL19" s="12">
        <v>6.27</v>
      </c>
      <c r="AM19" s="12">
        <v>4.75</v>
      </c>
      <c r="AN19" s="12">
        <v>3.44</v>
      </c>
      <c r="AO19" s="12">
        <v>2.65</v>
      </c>
      <c r="AP19" s="12">
        <v>4.5999999999999996</v>
      </c>
      <c r="AQ19" s="12"/>
      <c r="AR19" s="12"/>
      <c r="AS19" s="14"/>
      <c r="AT19" s="12">
        <v>4.0999999999999996</v>
      </c>
      <c r="AU19" s="12">
        <v>4.5</v>
      </c>
      <c r="AV19" s="9" t="s">
        <v>20</v>
      </c>
      <c r="AW19" s="6">
        <v>0.309</v>
      </c>
    </row>
    <row r="20" spans="1:50" x14ac:dyDescent="0.3">
      <c r="A20" s="11" t="s">
        <v>16</v>
      </c>
      <c r="B20" s="12">
        <v>1.7317800000000001</v>
      </c>
      <c r="C20" s="12">
        <v>1.7221500000000001</v>
      </c>
      <c r="D20" s="12">
        <v>1.4926349999999999</v>
      </c>
      <c r="E20" s="12">
        <v>1.471965</v>
      </c>
      <c r="F20" s="12">
        <v>1.3</v>
      </c>
      <c r="G20" s="12">
        <v>1.57</v>
      </c>
      <c r="H20" s="12">
        <v>1.1672850000000001</v>
      </c>
      <c r="I20" s="12">
        <v>1.2389600000000001</v>
      </c>
      <c r="J20" s="12">
        <v>1.2108249999999998</v>
      </c>
      <c r="K20" s="12">
        <v>1.1926299999999999</v>
      </c>
      <c r="L20" s="12">
        <v>1.2468050000000002</v>
      </c>
      <c r="M20" s="12">
        <v>1.2044049999999999</v>
      </c>
      <c r="N20" s="12">
        <v>1.634085</v>
      </c>
      <c r="O20" s="12">
        <v>2.4263949999999999</v>
      </c>
      <c r="P20" s="12">
        <v>1.599685</v>
      </c>
      <c r="Q20" s="12">
        <v>1.4313400000000001</v>
      </c>
      <c r="R20" s="12">
        <v>1.4132750000000001</v>
      </c>
      <c r="S20" s="12">
        <v>1.66547</v>
      </c>
      <c r="T20" s="12">
        <v>2.3273250000000001</v>
      </c>
      <c r="U20" s="12">
        <v>1.2044049999999999</v>
      </c>
      <c r="V20" s="12">
        <v>2.4263949999999999</v>
      </c>
      <c r="W20" s="12">
        <v>1.642075</v>
      </c>
      <c r="X20" s="12">
        <v>3.08</v>
      </c>
      <c r="Y20" s="12">
        <v>2.54</v>
      </c>
      <c r="Z20" s="12">
        <v>2.0299999999999998</v>
      </c>
      <c r="AA20" s="12">
        <v>2.41</v>
      </c>
      <c r="AB20" s="12">
        <v>2.21</v>
      </c>
      <c r="AC20" s="12">
        <v>2.38</v>
      </c>
      <c r="AD20" s="12">
        <v>2.78</v>
      </c>
      <c r="AE20" s="12">
        <v>2.38</v>
      </c>
      <c r="AF20" s="12">
        <v>3.73</v>
      </c>
      <c r="AG20" s="12">
        <v>3.4</v>
      </c>
      <c r="AH20" s="12">
        <v>1.94</v>
      </c>
      <c r="AI20" s="12">
        <v>1.39</v>
      </c>
      <c r="AJ20" s="12">
        <v>2.54</v>
      </c>
      <c r="AK20" s="12">
        <v>1.08</v>
      </c>
      <c r="AL20" s="12">
        <v>1.76</v>
      </c>
      <c r="AM20" s="12">
        <v>1.77</v>
      </c>
      <c r="AN20" s="12">
        <v>1.52</v>
      </c>
      <c r="AO20" s="12">
        <v>1.36</v>
      </c>
      <c r="AP20" s="12">
        <v>2.9</v>
      </c>
      <c r="AQ20" s="12">
        <v>2.5299999999999998</v>
      </c>
      <c r="AR20" s="12">
        <v>1.95</v>
      </c>
      <c r="AS20" s="14">
        <v>3.61</v>
      </c>
      <c r="AT20" s="12">
        <v>2.6</v>
      </c>
      <c r="AU20" s="12">
        <v>2.2999999999999998</v>
      </c>
      <c r="AV20" s="9" t="s">
        <v>16</v>
      </c>
      <c r="AW20" s="6">
        <v>0.16800000000000001</v>
      </c>
    </row>
    <row r="21" spans="1:50" x14ac:dyDescent="0.3">
      <c r="A21" s="11" t="s">
        <v>2</v>
      </c>
      <c r="B21" s="12">
        <v>1.8428497896624423</v>
      </c>
      <c r="C21" s="12">
        <v>1.8347882627903354</v>
      </c>
      <c r="D21" s="12">
        <v>1.5705334242384401</v>
      </c>
      <c r="E21" s="12">
        <v>1.594168375601615</v>
      </c>
      <c r="F21" s="12">
        <v>1.5723414043819912</v>
      </c>
      <c r="G21" s="12">
        <v>1.7124828176578228</v>
      </c>
      <c r="H21" s="12">
        <v>0.76444274793507905</v>
      </c>
      <c r="I21" s="12">
        <v>1.3362017994826669</v>
      </c>
      <c r="J21" s="12">
        <v>1.2774362584177936</v>
      </c>
      <c r="K21" s="12">
        <v>1.222623589240837</v>
      </c>
      <c r="L21" s="12">
        <v>0.74605275722824305</v>
      </c>
      <c r="M21" s="12">
        <v>1.4634459204333432</v>
      </c>
      <c r="N21" s="12">
        <v>2.0147190353422073</v>
      </c>
      <c r="O21" s="12">
        <v>1.9328541666736716</v>
      </c>
      <c r="P21" s="12">
        <v>1.5135578782129857</v>
      </c>
      <c r="Q21" s="12">
        <v>1.7858390717538934</v>
      </c>
      <c r="R21" s="12">
        <v>1.5637371793767374</v>
      </c>
      <c r="S21" s="12">
        <v>1.3879355834540701</v>
      </c>
      <c r="T21" s="12">
        <v>1.3241036748304229</v>
      </c>
      <c r="U21" s="12">
        <v>1.4487856244033848</v>
      </c>
      <c r="V21" s="12">
        <v>1.9133816374809143</v>
      </c>
      <c r="W21" s="12">
        <v>1.5089829951259159</v>
      </c>
      <c r="X21" s="12">
        <v>1.5348571257246615</v>
      </c>
      <c r="Y21" s="12">
        <v>1.8747791333465817</v>
      </c>
      <c r="Z21" s="12">
        <v>2.6552287581699341</v>
      </c>
      <c r="AA21" s="12">
        <v>2.8007441091360064</v>
      </c>
      <c r="AB21" s="12">
        <v>2.8008298755186729</v>
      </c>
      <c r="AC21" s="12">
        <v>2.7368421052631575</v>
      </c>
      <c r="AD21" s="12">
        <v>3.0225931202931005</v>
      </c>
      <c r="AE21" s="12">
        <v>2.8108329913828478</v>
      </c>
      <c r="AF21" s="12">
        <v>3.1659608792095186</v>
      </c>
      <c r="AG21" s="12">
        <v>3.287727179906065</v>
      </c>
      <c r="AH21" s="12">
        <v>2.6073774633653364</v>
      </c>
      <c r="AI21" s="12">
        <v>0.72861563030242538</v>
      </c>
      <c r="AJ21" s="12">
        <v>1.1993549687562992</v>
      </c>
      <c r="AK21" s="12">
        <v>0.58665606045540408</v>
      </c>
      <c r="AL21" s="12">
        <v>0.90307043949428067</v>
      </c>
      <c r="AM21" s="12">
        <v>0.87191822008418485</v>
      </c>
      <c r="AN21" s="12">
        <v>0.59147460738323476</v>
      </c>
      <c r="AO21" s="12">
        <v>0.54238650060265181</v>
      </c>
      <c r="AP21" s="12">
        <v>2.2546432507304841</v>
      </c>
      <c r="AQ21" s="12">
        <v>2.0712131826627274</v>
      </c>
      <c r="AR21" s="12">
        <v>1.8121595908546346</v>
      </c>
      <c r="AS21" s="12">
        <v>3.6491848440615939</v>
      </c>
      <c r="AT21" s="12">
        <v>2.1983837808129949</v>
      </c>
      <c r="AU21" s="12">
        <v>1.9810941271118259</v>
      </c>
      <c r="AV21" s="5" t="s">
        <v>87</v>
      </c>
      <c r="AW21" s="6">
        <v>1280</v>
      </c>
    </row>
    <row r="22" spans="1:50" x14ac:dyDescent="0.3">
      <c r="A22" s="11" t="s">
        <v>17</v>
      </c>
      <c r="B22" s="12">
        <v>0.99212500000000003</v>
      </c>
      <c r="C22" s="12">
        <v>0.96253999999999995</v>
      </c>
      <c r="D22" s="12">
        <v>0.79910499999999995</v>
      </c>
      <c r="E22" s="12">
        <v>0.78374999999999995</v>
      </c>
      <c r="F22" s="12"/>
      <c r="G22" s="12"/>
      <c r="H22" s="12">
        <v>0.62922</v>
      </c>
      <c r="I22" s="12">
        <v>0.68306</v>
      </c>
      <c r="J22" s="12">
        <v>0.65270000000000006</v>
      </c>
      <c r="K22" s="12">
        <v>0.63542999999999994</v>
      </c>
      <c r="L22" s="12">
        <v>0.71918000000000004</v>
      </c>
      <c r="M22" s="12">
        <v>0.637625</v>
      </c>
      <c r="N22" s="12">
        <v>0.79417499999999996</v>
      </c>
      <c r="O22" s="12">
        <v>1.0182799999999999</v>
      </c>
      <c r="P22" s="12">
        <v>0.73878500000000003</v>
      </c>
      <c r="Q22" s="12">
        <v>0.6648400000000001</v>
      </c>
      <c r="R22" s="12">
        <v>0.66290000000000004</v>
      </c>
      <c r="S22" s="12">
        <v>0.78484500000000001</v>
      </c>
      <c r="T22" s="12">
        <v>0.99252000000000007</v>
      </c>
      <c r="U22" s="12">
        <v>0.637625</v>
      </c>
      <c r="V22" s="12">
        <v>1.0182799999999999</v>
      </c>
      <c r="W22" s="12">
        <v>0.75906000000000007</v>
      </c>
      <c r="X22" s="12"/>
      <c r="Y22" s="12"/>
      <c r="Z22" s="12">
        <v>0.82</v>
      </c>
      <c r="AA22" s="12">
        <v>0.97</v>
      </c>
      <c r="AB22" s="12">
        <v>0.91</v>
      </c>
      <c r="AC22" s="12">
        <v>0.96</v>
      </c>
      <c r="AD22" s="12">
        <v>1.1000000000000001</v>
      </c>
      <c r="AE22" s="12">
        <v>1.01</v>
      </c>
      <c r="AF22" s="12">
        <v>1.47</v>
      </c>
      <c r="AG22" s="12">
        <v>1.36</v>
      </c>
      <c r="AH22" s="12">
        <v>0.85</v>
      </c>
      <c r="AI22" s="12">
        <v>0.67</v>
      </c>
      <c r="AJ22" s="12">
        <v>1.01</v>
      </c>
      <c r="AK22" s="12">
        <v>0.62</v>
      </c>
      <c r="AL22" s="12">
        <v>0.81</v>
      </c>
      <c r="AM22" s="12">
        <v>0.73</v>
      </c>
      <c r="AN22" s="12">
        <v>0.64</v>
      </c>
      <c r="AO22" s="12">
        <v>0.67</v>
      </c>
      <c r="AP22" s="12"/>
      <c r="AQ22" s="12"/>
      <c r="AR22" s="12"/>
      <c r="AS22" s="12"/>
      <c r="AT22" s="12"/>
      <c r="AU22" s="12"/>
      <c r="AV22" s="9" t="s">
        <v>17</v>
      </c>
      <c r="AW22" s="6">
        <v>0.108</v>
      </c>
    </row>
    <row r="23" spans="1:50" x14ac:dyDescent="0.3">
      <c r="A23" s="11" t="s">
        <v>7</v>
      </c>
      <c r="B23" s="12">
        <v>34.130894999999995</v>
      </c>
      <c r="C23" s="12">
        <v>32.576284999999999</v>
      </c>
      <c r="D23" s="12">
        <v>27.903784999999999</v>
      </c>
      <c r="E23" s="12">
        <v>27.40326</v>
      </c>
      <c r="F23" s="12">
        <v>30.1</v>
      </c>
      <c r="G23" s="12">
        <v>23.2</v>
      </c>
      <c r="H23" s="12">
        <v>24.132210000000001</v>
      </c>
      <c r="I23" s="12">
        <v>25.286049999999999</v>
      </c>
      <c r="J23" s="12">
        <v>24.365695000000002</v>
      </c>
      <c r="K23" s="12">
        <v>23.400945</v>
      </c>
      <c r="L23" s="12">
        <v>25.358559999999997</v>
      </c>
      <c r="M23" s="12">
        <v>18.844470000000001</v>
      </c>
      <c r="N23" s="12">
        <v>20.832774999999998</v>
      </c>
      <c r="O23" s="12">
        <v>24.803269999999998</v>
      </c>
      <c r="P23" s="12">
        <v>19.389265000000002</v>
      </c>
      <c r="Q23" s="12">
        <v>17.707945000000002</v>
      </c>
      <c r="R23" s="12">
        <v>18.509250000000002</v>
      </c>
      <c r="S23" s="12">
        <v>21.916764999999998</v>
      </c>
      <c r="T23" s="12">
        <v>24.478645</v>
      </c>
      <c r="U23" s="12">
        <v>18.844470000000001</v>
      </c>
      <c r="V23" s="12">
        <v>24.803269999999998</v>
      </c>
      <c r="W23" s="12">
        <v>20.153784999999999</v>
      </c>
      <c r="X23" s="12">
        <v>33.6</v>
      </c>
      <c r="Y23" s="12">
        <v>27.86</v>
      </c>
      <c r="Z23" s="12">
        <v>21.4</v>
      </c>
      <c r="AA23" s="12">
        <v>21.1</v>
      </c>
      <c r="AB23" s="12">
        <v>20.3</v>
      </c>
      <c r="AC23" s="12">
        <v>22.8</v>
      </c>
      <c r="AD23" s="12">
        <v>27.1</v>
      </c>
      <c r="AE23" s="12">
        <v>23.5</v>
      </c>
      <c r="AF23" s="12">
        <v>35.4</v>
      </c>
      <c r="AG23" s="12">
        <v>34.799999999999997</v>
      </c>
      <c r="AH23" s="12">
        <v>21.3</v>
      </c>
      <c r="AI23" s="12">
        <v>21.5</v>
      </c>
      <c r="AJ23" s="12">
        <v>27.4</v>
      </c>
      <c r="AK23" s="12">
        <v>21.3</v>
      </c>
      <c r="AL23" s="12">
        <v>25.1</v>
      </c>
      <c r="AM23" s="12">
        <v>22</v>
      </c>
      <c r="AN23" s="12">
        <v>20.399999999999999</v>
      </c>
      <c r="AO23" s="12">
        <v>20.6</v>
      </c>
      <c r="AP23" s="12">
        <v>30.6</v>
      </c>
      <c r="AQ23" s="12">
        <v>28.5</v>
      </c>
      <c r="AR23" s="12">
        <v>26.7</v>
      </c>
      <c r="AS23" s="14">
        <v>36.700000000000003</v>
      </c>
      <c r="AT23" s="12">
        <v>30.1</v>
      </c>
      <c r="AU23" s="12">
        <v>26.3</v>
      </c>
      <c r="AV23" s="9" t="s">
        <v>7</v>
      </c>
      <c r="AW23" s="6">
        <v>4.55</v>
      </c>
    </row>
    <row r="24" spans="1:50" x14ac:dyDescent="0.3">
      <c r="A24" s="11" t="s">
        <v>18</v>
      </c>
      <c r="B24" s="12">
        <v>3.62866</v>
      </c>
      <c r="C24" s="12">
        <v>3.4945650000000001</v>
      </c>
      <c r="D24" s="12">
        <v>2.97818</v>
      </c>
      <c r="E24" s="12">
        <v>2.9424700000000001</v>
      </c>
      <c r="F24" s="12">
        <v>2.4300000000000002</v>
      </c>
      <c r="G24" s="12">
        <v>2.48</v>
      </c>
      <c r="H24" s="12">
        <v>2.34416</v>
      </c>
      <c r="I24" s="12">
        <v>2.4672549999999998</v>
      </c>
      <c r="J24" s="12">
        <v>2.42997</v>
      </c>
      <c r="K24" s="12">
        <v>2.2709900000000003</v>
      </c>
      <c r="L24" s="12">
        <v>2.4486499999999998</v>
      </c>
      <c r="M24" s="12">
        <v>1.5343549999999999</v>
      </c>
      <c r="N24" s="12">
        <v>1.5625</v>
      </c>
      <c r="O24" s="12">
        <v>1.9073699999999998</v>
      </c>
      <c r="P24" s="12">
        <v>1.4681550000000001</v>
      </c>
      <c r="Q24" s="12">
        <v>1.328735</v>
      </c>
      <c r="R24" s="12">
        <v>1.4436</v>
      </c>
      <c r="S24" s="12">
        <v>1.8285499999999999</v>
      </c>
      <c r="T24" s="12">
        <v>1.9933800000000002</v>
      </c>
      <c r="U24" s="12"/>
      <c r="V24" s="12"/>
      <c r="W24" s="12"/>
      <c r="X24" s="12">
        <v>3.91</v>
      </c>
      <c r="Y24" s="12">
        <v>2.94</v>
      </c>
      <c r="Z24" s="12">
        <v>1.32</v>
      </c>
      <c r="AA24" s="12">
        <v>1.43</v>
      </c>
      <c r="AB24" s="12">
        <v>1.37</v>
      </c>
      <c r="AC24" s="12">
        <v>1.41</v>
      </c>
      <c r="AD24" s="12">
        <v>1.82</v>
      </c>
      <c r="AE24" s="12">
        <v>1.63</v>
      </c>
      <c r="AF24" s="12">
        <v>2.37</v>
      </c>
      <c r="AG24" s="12">
        <v>2.2599999999999998</v>
      </c>
      <c r="AH24" s="12">
        <v>1.47</v>
      </c>
      <c r="AI24" s="12">
        <v>1.97</v>
      </c>
      <c r="AJ24" s="12">
        <v>2.13</v>
      </c>
      <c r="AK24" s="12">
        <v>2.0499999999999998</v>
      </c>
      <c r="AL24" s="12">
        <v>2.23</v>
      </c>
      <c r="AM24" s="12">
        <v>1.91</v>
      </c>
      <c r="AN24" s="12">
        <v>1.85</v>
      </c>
      <c r="AO24" s="12">
        <v>1.74</v>
      </c>
      <c r="AP24" s="12">
        <v>2.2999999999999998</v>
      </c>
      <c r="AQ24" s="12">
        <v>2.34</v>
      </c>
      <c r="AR24" s="12">
        <v>2.17</v>
      </c>
      <c r="AS24" s="14">
        <v>1.92</v>
      </c>
      <c r="AT24" s="12">
        <v>2</v>
      </c>
      <c r="AU24" s="12">
        <v>2.1</v>
      </c>
      <c r="AV24" s="9" t="s">
        <v>18</v>
      </c>
      <c r="AW24" s="6">
        <v>0.49299999999999999</v>
      </c>
    </row>
    <row r="25" spans="1:50" x14ac:dyDescent="0.3">
      <c r="A25" s="11" t="s">
        <v>19</v>
      </c>
      <c r="B25" s="12">
        <v>0.50383500000000003</v>
      </c>
      <c r="C25" s="12">
        <v>0.48512500000000003</v>
      </c>
      <c r="D25" s="12">
        <v>0.41385</v>
      </c>
      <c r="E25" s="12">
        <v>0.41122499999999995</v>
      </c>
      <c r="F25" s="12">
        <v>0.33</v>
      </c>
      <c r="G25" s="12">
        <v>0.3</v>
      </c>
      <c r="H25" s="12">
        <v>0.33643499999999998</v>
      </c>
      <c r="I25" s="12">
        <v>0.35914499999999999</v>
      </c>
      <c r="J25" s="12">
        <v>0.35263500000000003</v>
      </c>
      <c r="K25" s="12">
        <v>0.32706500000000005</v>
      </c>
      <c r="L25" s="12">
        <v>0.34498499999999999</v>
      </c>
      <c r="M25" s="12">
        <v>0.22078500000000001</v>
      </c>
      <c r="N25" s="12">
        <v>0.22525000000000001</v>
      </c>
      <c r="O25" s="12">
        <v>0.27146000000000003</v>
      </c>
      <c r="P25" s="12">
        <v>0.21481499999999998</v>
      </c>
      <c r="Q25" s="12">
        <v>0.192495</v>
      </c>
      <c r="R25" s="12">
        <v>0.21815499999999999</v>
      </c>
      <c r="S25" s="12">
        <v>0.27879999999999999</v>
      </c>
      <c r="T25" s="12">
        <v>0.31222499999999997</v>
      </c>
      <c r="U25" s="12">
        <v>1.5343549999999999</v>
      </c>
      <c r="V25" s="12">
        <v>1.9073699999999998</v>
      </c>
      <c r="W25" s="12">
        <v>1.5491999999999999</v>
      </c>
      <c r="X25" s="12">
        <v>0.61</v>
      </c>
      <c r="Y25" s="12">
        <v>0.49</v>
      </c>
      <c r="Z25" s="12">
        <v>0.17</v>
      </c>
      <c r="AA25" s="12">
        <v>0.19</v>
      </c>
      <c r="AB25" s="12">
        <v>0.18</v>
      </c>
      <c r="AC25" s="12">
        <v>0.19</v>
      </c>
      <c r="AD25" s="12">
        <v>0.25</v>
      </c>
      <c r="AE25" s="12">
        <v>0.23</v>
      </c>
      <c r="AF25" s="12">
        <v>0.34</v>
      </c>
      <c r="AG25" s="12">
        <v>0.31</v>
      </c>
      <c r="AH25" s="12">
        <v>0.21</v>
      </c>
      <c r="AI25" s="12">
        <v>0.31</v>
      </c>
      <c r="AJ25" s="12">
        <v>0.33</v>
      </c>
      <c r="AK25" s="12">
        <v>0.33</v>
      </c>
      <c r="AL25" s="12">
        <v>0.36</v>
      </c>
      <c r="AM25" s="12">
        <v>0.3</v>
      </c>
      <c r="AN25" s="12">
        <v>0.28999999999999998</v>
      </c>
      <c r="AO25" s="12">
        <v>0.27</v>
      </c>
      <c r="AP25" s="12">
        <v>0.3</v>
      </c>
      <c r="AQ25" s="12">
        <v>0.35</v>
      </c>
      <c r="AR25" s="12">
        <v>0.34</v>
      </c>
      <c r="AS25" s="14">
        <v>0.28999999999999998</v>
      </c>
      <c r="AT25" s="12">
        <v>0.3</v>
      </c>
      <c r="AU25" s="12">
        <v>0.3</v>
      </c>
      <c r="AV25" s="9" t="s">
        <v>19</v>
      </c>
      <c r="AW25" s="6">
        <v>7.3999999999999996E-2</v>
      </c>
    </row>
    <row r="44" spans="48:49" x14ac:dyDescent="0.3">
      <c r="AV44" s="1">
        <v>2973</v>
      </c>
      <c r="AW44" s="2" t="s">
        <v>84</v>
      </c>
    </row>
    <row r="45" spans="48:49" x14ac:dyDescent="0.3">
      <c r="AV45" s="1">
        <v>2995</v>
      </c>
      <c r="AW45" s="2" t="s">
        <v>32</v>
      </c>
    </row>
  </sheetData>
  <pageMargins left="0.75" right="0.75" top="1" bottom="1" header="0.5" footer="0.5"/>
  <pageSetup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M45"/>
  <sheetViews>
    <sheetView tabSelected="1" topLeftCell="KI1" zoomScale="166" zoomScaleNormal="166" workbookViewId="0">
      <selection activeCell="KQ13" sqref="KQ13"/>
    </sheetView>
  </sheetViews>
  <sheetFormatPr defaultColWidth="10.6328125" defaultRowHeight="15.6" x14ac:dyDescent="0.3"/>
  <cols>
    <col min="1" max="1" width="10.36328125" style="3" bestFit="1" customWidth="1"/>
    <col min="2" max="2" width="18.453125" style="58" customWidth="1"/>
    <col min="3" max="3" width="10.6328125" style="3" customWidth="1"/>
    <col min="4" max="4" width="36.36328125" style="57" customWidth="1"/>
    <col min="5" max="73" width="10.6328125" style="3"/>
    <col min="74" max="75" width="13.1796875" style="3" customWidth="1"/>
    <col min="76" max="76" width="15" style="3" customWidth="1"/>
    <col min="77" max="80" width="10.6328125" style="3"/>
    <col min="81" max="82" width="20.453125" style="3" customWidth="1"/>
    <col min="83" max="83" width="24.6328125" style="3" customWidth="1"/>
    <col min="84" max="85" width="10.6328125" style="3"/>
    <col min="86" max="86" width="12.6328125" style="3" customWidth="1"/>
    <col min="87" max="87" width="10.6328125" style="3"/>
    <col min="88" max="88" width="12.81640625" style="3" customWidth="1"/>
    <col min="89" max="89" width="12.1796875" style="3" customWidth="1"/>
    <col min="90" max="157" width="10.6328125" style="3"/>
    <col min="158" max="174" width="12" style="3" customWidth="1"/>
    <col min="175" max="175" width="11.1796875" style="3" customWidth="1"/>
    <col min="176" max="176" width="22.1796875" style="3" customWidth="1"/>
    <col min="177" max="193" width="10.6328125" style="3"/>
    <col min="194" max="194" width="16.36328125" style="3" customWidth="1"/>
    <col min="195" max="211" width="10.6328125" style="3"/>
    <col min="212" max="212" width="8.81640625" style="21" customWidth="1"/>
    <col min="213" max="213" width="15.6328125" style="35" customWidth="1"/>
    <col min="214" max="224" width="10.6328125" style="3"/>
    <col min="225" max="225" width="8.81640625" style="21" customWidth="1"/>
    <col min="226" max="226" width="15.6328125" style="35" customWidth="1"/>
    <col min="227" max="229" width="10.6328125" style="3"/>
    <col min="230" max="230" width="15.54296875" style="3" customWidth="1"/>
    <col min="231" max="16384" width="10.6328125" style="3"/>
  </cols>
  <sheetData>
    <row r="1" spans="1:325" ht="16.2" thickTop="1" x14ac:dyDescent="0.3">
      <c r="A1" s="11" t="s">
        <v>1</v>
      </c>
      <c r="B1" s="58" t="s">
        <v>161</v>
      </c>
      <c r="C1" s="25" t="s">
        <v>89</v>
      </c>
      <c r="D1" s="57" t="s">
        <v>230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  <c r="O1" t="s">
        <v>101</v>
      </c>
      <c r="P1" t="s">
        <v>102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  <c r="AA1" t="s">
        <v>113</v>
      </c>
      <c r="AB1" t="s">
        <v>114</v>
      </c>
      <c r="AC1" t="s">
        <v>115</v>
      </c>
      <c r="AD1" t="s">
        <v>116</v>
      </c>
      <c r="AE1" t="s">
        <v>117</v>
      </c>
      <c r="AF1" t="s">
        <v>118</v>
      </c>
      <c r="AG1" t="s">
        <v>119</v>
      </c>
      <c r="AH1" t="s">
        <v>120</v>
      </c>
      <c r="AI1" t="s">
        <v>121</v>
      </c>
      <c r="AJ1" t="s">
        <v>122</v>
      </c>
      <c r="AK1" t="s">
        <v>123</v>
      </c>
      <c r="AL1" t="s">
        <v>124</v>
      </c>
      <c r="AM1" t="s">
        <v>125</v>
      </c>
      <c r="AN1" t="s">
        <v>126</v>
      </c>
      <c r="AO1" t="s">
        <v>127</v>
      </c>
      <c r="AP1" t="s">
        <v>128</v>
      </c>
      <c r="AQ1" t="s">
        <v>129</v>
      </c>
      <c r="AR1" t="s">
        <v>130</v>
      </c>
      <c r="AS1" t="s">
        <v>131</v>
      </c>
      <c r="AT1" t="s">
        <v>132</v>
      </c>
      <c r="AU1" t="s">
        <v>133</v>
      </c>
      <c r="AV1" t="s">
        <v>134</v>
      </c>
      <c r="AW1" t="s">
        <v>135</v>
      </c>
      <c r="AX1" t="s">
        <v>136</v>
      </c>
      <c r="AY1" t="s">
        <v>137</v>
      </c>
      <c r="AZ1" t="s">
        <v>138</v>
      </c>
      <c r="BA1" t="s">
        <v>139</v>
      </c>
      <c r="BB1" t="s">
        <v>140</v>
      </c>
      <c r="BC1" t="s">
        <v>141</v>
      </c>
      <c r="BD1" t="s">
        <v>142</v>
      </c>
      <c r="BE1" t="s">
        <v>143</v>
      </c>
      <c r="BF1" t="s">
        <v>144</v>
      </c>
      <c r="BG1" t="s">
        <v>145</v>
      </c>
      <c r="BH1" t="s">
        <v>146</v>
      </c>
      <c r="BI1" t="s">
        <v>147</v>
      </c>
      <c r="BJ1" t="s">
        <v>148</v>
      </c>
      <c r="BK1" t="s">
        <v>149</v>
      </c>
      <c r="BL1" t="s">
        <v>150</v>
      </c>
      <c r="BM1" t="s">
        <v>151</v>
      </c>
      <c r="BN1" t="s">
        <v>152</v>
      </c>
      <c r="BO1" t="s">
        <v>153</v>
      </c>
      <c r="BP1" t="s">
        <v>154</v>
      </c>
      <c r="BQ1" t="s">
        <v>155</v>
      </c>
      <c r="BR1" t="s">
        <v>156</v>
      </c>
      <c r="BS1" t="s">
        <v>157</v>
      </c>
      <c r="BT1" t="s">
        <v>158</v>
      </c>
      <c r="BU1" t="s">
        <v>159</v>
      </c>
      <c r="BV1" t="s">
        <v>164</v>
      </c>
      <c r="BW1" t="s">
        <v>168</v>
      </c>
      <c r="BX1" t="s">
        <v>167</v>
      </c>
      <c r="BY1" t="s">
        <v>170</v>
      </c>
      <c r="BZ1" t="s">
        <v>170</v>
      </c>
      <c r="CA1" t="s">
        <v>171</v>
      </c>
      <c r="CB1" t="s">
        <v>172</v>
      </c>
      <c r="CC1" s="30" t="s">
        <v>202</v>
      </c>
      <c r="CD1" s="30" t="s">
        <v>217</v>
      </c>
      <c r="CE1" s="3" t="s">
        <v>204</v>
      </c>
      <c r="CF1" s="30" t="s">
        <v>206</v>
      </c>
      <c r="CG1" s="30" t="s">
        <v>206</v>
      </c>
      <c r="CH1" s="30" t="s">
        <v>209</v>
      </c>
      <c r="CI1" s="30" t="s">
        <v>209</v>
      </c>
      <c r="CJ1" s="30" t="s">
        <v>221</v>
      </c>
      <c r="CK1" s="30" t="s">
        <v>221</v>
      </c>
      <c r="CL1" s="26" t="s">
        <v>91</v>
      </c>
      <c r="CM1" s="26" t="s">
        <v>92</v>
      </c>
      <c r="CN1" s="26" t="s">
        <v>93</v>
      </c>
      <c r="CO1" s="26" t="s">
        <v>94</v>
      </c>
      <c r="CP1" s="26" t="s">
        <v>95</v>
      </c>
      <c r="CQ1" s="26" t="s">
        <v>96</v>
      </c>
      <c r="CR1" s="26" t="s">
        <v>97</v>
      </c>
      <c r="CS1" s="26" t="s">
        <v>98</v>
      </c>
      <c r="CT1" s="26" t="s">
        <v>99</v>
      </c>
      <c r="CU1" s="26" t="s">
        <v>100</v>
      </c>
      <c r="CV1" s="26" t="s">
        <v>101</v>
      </c>
      <c r="CW1" s="26" t="s">
        <v>102</v>
      </c>
      <c r="CX1" s="26" t="s">
        <v>103</v>
      </c>
      <c r="CY1" s="26" t="s">
        <v>104</v>
      </c>
      <c r="CZ1" s="26" t="s">
        <v>105</v>
      </c>
      <c r="DA1" s="26" t="s">
        <v>106</v>
      </c>
      <c r="DB1" s="26" t="s">
        <v>107</v>
      </c>
      <c r="DC1" s="26" t="s">
        <v>108</v>
      </c>
      <c r="DD1" s="26" t="s">
        <v>109</v>
      </c>
      <c r="DE1" s="26" t="s">
        <v>110</v>
      </c>
      <c r="DF1" s="26" t="s">
        <v>111</v>
      </c>
      <c r="DG1" s="26" t="s">
        <v>112</v>
      </c>
      <c r="DH1" s="26" t="s">
        <v>113</v>
      </c>
      <c r="DI1" s="26" t="s">
        <v>114</v>
      </c>
      <c r="DJ1" s="26" t="s">
        <v>115</v>
      </c>
      <c r="DK1" s="26" t="s">
        <v>116</v>
      </c>
      <c r="DL1" s="26" t="s">
        <v>117</v>
      </c>
      <c r="DM1" s="26" t="s">
        <v>118</v>
      </c>
      <c r="DN1" s="26" t="s">
        <v>119</v>
      </c>
      <c r="DO1" s="26" t="s">
        <v>120</v>
      </c>
      <c r="DP1" s="26" t="s">
        <v>121</v>
      </c>
      <c r="DQ1" s="26" t="s">
        <v>122</v>
      </c>
      <c r="DR1" s="26" t="s">
        <v>123</v>
      </c>
      <c r="DS1" s="26" t="s">
        <v>124</v>
      </c>
      <c r="DT1" s="26" t="s">
        <v>125</v>
      </c>
      <c r="DU1" s="26" t="s">
        <v>126</v>
      </c>
      <c r="DV1" s="26" t="s">
        <v>127</v>
      </c>
      <c r="DW1" s="26" t="s">
        <v>128</v>
      </c>
      <c r="DX1" s="26" t="s">
        <v>129</v>
      </c>
      <c r="DY1" s="26" t="s">
        <v>130</v>
      </c>
      <c r="DZ1" s="26" t="s">
        <v>131</v>
      </c>
      <c r="EA1" s="26" t="s">
        <v>132</v>
      </c>
      <c r="EB1" s="26" t="s">
        <v>133</v>
      </c>
      <c r="EC1" s="26" t="s">
        <v>134</v>
      </c>
      <c r="ED1" s="26" t="s">
        <v>135</v>
      </c>
      <c r="EE1" s="26" t="s">
        <v>136</v>
      </c>
      <c r="EF1" s="26" t="s">
        <v>137</v>
      </c>
      <c r="EG1" s="26" t="s">
        <v>138</v>
      </c>
      <c r="EH1" s="26" t="s">
        <v>139</v>
      </c>
      <c r="EI1" s="26" t="s">
        <v>140</v>
      </c>
      <c r="EJ1" s="26" t="s">
        <v>141</v>
      </c>
      <c r="EK1" s="26" t="s">
        <v>142</v>
      </c>
      <c r="EL1" s="26" t="s">
        <v>143</v>
      </c>
      <c r="EM1" s="26" t="s">
        <v>144</v>
      </c>
      <c r="EN1" s="26" t="s">
        <v>145</v>
      </c>
      <c r="EO1" s="26" t="s">
        <v>146</v>
      </c>
      <c r="EP1" s="26" t="s">
        <v>147</v>
      </c>
      <c r="EQ1" s="26" t="s">
        <v>148</v>
      </c>
      <c r="ER1" s="26" t="s">
        <v>149</v>
      </c>
      <c r="ES1" s="26" t="s">
        <v>150</v>
      </c>
      <c r="ET1" s="26" t="s">
        <v>151</v>
      </c>
      <c r="EU1" s="26" t="s">
        <v>152</v>
      </c>
      <c r="EV1" s="26" t="s">
        <v>153</v>
      </c>
      <c r="EW1" s="26" t="s">
        <v>154</v>
      </c>
      <c r="EX1" s="26" t="s">
        <v>155</v>
      </c>
      <c r="EY1" s="26" t="s">
        <v>156</v>
      </c>
      <c r="EZ1" s="26" t="s">
        <v>157</v>
      </c>
      <c r="FA1" s="26" t="s">
        <v>158</v>
      </c>
      <c r="FB1" s="26" t="s">
        <v>159</v>
      </c>
      <c r="FC1" s="31" t="s">
        <v>164</v>
      </c>
      <c r="FD1" s="31" t="s">
        <v>168</v>
      </c>
      <c r="FE1" s="31" t="s">
        <v>167</v>
      </c>
      <c r="FF1" s="31" t="s">
        <v>170</v>
      </c>
      <c r="FG1" s="31" t="s">
        <v>170</v>
      </c>
      <c r="FH1" s="31" t="s">
        <v>171</v>
      </c>
      <c r="FI1" s="31" t="s">
        <v>172</v>
      </c>
      <c r="FJ1" s="45" t="s">
        <v>202</v>
      </c>
      <c r="FK1" s="45" t="s">
        <v>217</v>
      </c>
      <c r="FL1" s="46" t="s">
        <v>204</v>
      </c>
      <c r="FM1" s="45" t="s">
        <v>206</v>
      </c>
      <c r="FN1" s="45" t="s">
        <v>206</v>
      </c>
      <c r="FO1" s="45" t="s">
        <v>209</v>
      </c>
      <c r="FP1" s="45" t="s">
        <v>209</v>
      </c>
      <c r="FQ1" s="45" t="s">
        <v>223</v>
      </c>
      <c r="FR1" s="45" t="s">
        <v>223</v>
      </c>
      <c r="FS1" s="3" t="s">
        <v>162</v>
      </c>
      <c r="FT1" s="29" t="s">
        <v>163</v>
      </c>
      <c r="FV1" s="3" t="s">
        <v>187</v>
      </c>
      <c r="GF1" s="3" t="s">
        <v>188</v>
      </c>
      <c r="GI1" s="3" t="s">
        <v>192</v>
      </c>
      <c r="GJ1" s="3" t="s">
        <v>192</v>
      </c>
      <c r="GK1" s="3" t="s">
        <v>192</v>
      </c>
      <c r="GL1" s="35" t="s">
        <v>161</v>
      </c>
      <c r="GX1" s="3" t="s">
        <v>188</v>
      </c>
      <c r="HA1" s="3" t="s">
        <v>216</v>
      </c>
      <c r="HD1" s="23" t="s">
        <v>88</v>
      </c>
      <c r="HE1" s="35" t="s">
        <v>161</v>
      </c>
      <c r="HH1" t="s">
        <v>92</v>
      </c>
      <c r="HI1" t="s">
        <v>93</v>
      </c>
      <c r="HJ1" t="s">
        <v>94</v>
      </c>
      <c r="HK1" t="s">
        <v>95</v>
      </c>
      <c r="HL1" t="s">
        <v>96</v>
      </c>
      <c r="HM1" t="s">
        <v>97</v>
      </c>
      <c r="HN1" t="s">
        <v>98</v>
      </c>
      <c r="HO1" t="s">
        <v>99</v>
      </c>
      <c r="HP1" t="s">
        <v>100</v>
      </c>
      <c r="HQ1" t="s">
        <v>101</v>
      </c>
      <c r="HR1" t="s">
        <v>102</v>
      </c>
      <c r="HS1" t="s">
        <v>103</v>
      </c>
      <c r="HT1" t="s">
        <v>104</v>
      </c>
      <c r="HU1" t="s">
        <v>105</v>
      </c>
      <c r="HV1" s="35" t="s">
        <v>161</v>
      </c>
      <c r="HX1" s="23" t="s">
        <v>88</v>
      </c>
      <c r="HZ1" s="61" t="s">
        <v>240</v>
      </c>
      <c r="IA1" s="61" t="s">
        <v>241</v>
      </c>
      <c r="IB1" s="61" t="s">
        <v>263</v>
      </c>
      <c r="IC1" s="61" t="s">
        <v>242</v>
      </c>
      <c r="ID1" s="61" t="s">
        <v>264</v>
      </c>
      <c r="IE1" s="61" t="s">
        <v>243</v>
      </c>
      <c r="IF1" s="61" t="s">
        <v>244</v>
      </c>
      <c r="IG1" s="61" t="s">
        <v>245</v>
      </c>
      <c r="IH1" s="61" t="s">
        <v>246</v>
      </c>
      <c r="II1" s="61" t="s">
        <v>247</v>
      </c>
      <c r="IJ1" s="61" t="s">
        <v>248</v>
      </c>
      <c r="IK1" s="61" t="s">
        <v>249</v>
      </c>
      <c r="IL1" s="61" t="s">
        <v>250</v>
      </c>
      <c r="IM1" s="61" t="s">
        <v>251</v>
      </c>
      <c r="IN1" s="61" t="s">
        <v>252</v>
      </c>
      <c r="IO1" s="61" t="s">
        <v>253</v>
      </c>
      <c r="IP1" s="61" t="s">
        <v>254</v>
      </c>
      <c r="IQ1" s="61" t="s">
        <v>255</v>
      </c>
      <c r="IR1" s="61" t="s">
        <v>256</v>
      </c>
      <c r="IS1" s="61" t="s">
        <v>257</v>
      </c>
      <c r="IT1" s="61" t="s">
        <v>258</v>
      </c>
      <c r="IU1" s="61" t="s">
        <v>259</v>
      </c>
      <c r="IV1" s="61"/>
      <c r="IW1" s="62" t="s">
        <v>260</v>
      </c>
      <c r="IX1" s="62" t="s">
        <v>261</v>
      </c>
      <c r="IY1" s="62" t="s">
        <v>262</v>
      </c>
      <c r="IZ1" s="61"/>
      <c r="JA1" s="61" t="s">
        <v>265</v>
      </c>
      <c r="JB1" s="61" t="s">
        <v>266</v>
      </c>
      <c r="JC1" s="61" t="s">
        <v>267</v>
      </c>
      <c r="JD1" s="61" t="s">
        <v>268</v>
      </c>
      <c r="JE1" s="61" t="s">
        <v>269</v>
      </c>
      <c r="JF1" s="61" t="s">
        <v>270</v>
      </c>
      <c r="JG1" s="61" t="s">
        <v>271</v>
      </c>
      <c r="JH1" s="61" t="s">
        <v>272</v>
      </c>
      <c r="JI1" s="61" t="s">
        <v>273</v>
      </c>
      <c r="JJ1" s="61" t="s">
        <v>274</v>
      </c>
      <c r="JK1" s="61" t="s">
        <v>275</v>
      </c>
      <c r="JL1" s="61" t="s">
        <v>276</v>
      </c>
      <c r="JM1" s="61" t="s">
        <v>277</v>
      </c>
      <c r="JN1" s="61" t="s">
        <v>278</v>
      </c>
      <c r="JO1" s="61" t="s">
        <v>279</v>
      </c>
      <c r="JP1" s="61" t="s">
        <v>280</v>
      </c>
      <c r="JQ1" s="61" t="s">
        <v>281</v>
      </c>
      <c r="JS1" s="69"/>
      <c r="JT1" s="69"/>
      <c r="JV1" s="72" t="s">
        <v>240</v>
      </c>
      <c r="JW1" s="72" t="s">
        <v>241</v>
      </c>
      <c r="JX1" s="72" t="s">
        <v>263</v>
      </c>
      <c r="JY1" s="72" t="s">
        <v>242</v>
      </c>
      <c r="JZ1" s="72" t="s">
        <v>264</v>
      </c>
      <c r="KA1" s="72" t="s">
        <v>243</v>
      </c>
      <c r="KB1" s="72" t="s">
        <v>244</v>
      </c>
      <c r="KC1" s="72" t="s">
        <v>245</v>
      </c>
      <c r="KD1" s="72" t="s">
        <v>246</v>
      </c>
      <c r="KE1" s="72" t="s">
        <v>247</v>
      </c>
      <c r="KF1" s="72" t="s">
        <v>248</v>
      </c>
      <c r="KG1" s="72" t="s">
        <v>249</v>
      </c>
      <c r="KH1" s="72" t="s">
        <v>250</v>
      </c>
      <c r="KI1" s="72" t="s">
        <v>251</v>
      </c>
      <c r="KJ1" s="72" t="s">
        <v>252</v>
      </c>
      <c r="KK1" s="72" t="s">
        <v>253</v>
      </c>
      <c r="KL1" s="72" t="s">
        <v>254</v>
      </c>
      <c r="KM1" s="72" t="s">
        <v>255</v>
      </c>
      <c r="KN1" s="72" t="s">
        <v>256</v>
      </c>
      <c r="KO1" s="72" t="s">
        <v>257</v>
      </c>
      <c r="KP1" s="72" t="s">
        <v>258</v>
      </c>
      <c r="KQ1" s="72" t="s">
        <v>259</v>
      </c>
      <c r="KR1" s="61"/>
      <c r="KS1" s="71" t="s">
        <v>260</v>
      </c>
      <c r="KT1" s="71" t="s">
        <v>261</v>
      </c>
      <c r="KU1" s="71" t="s">
        <v>262</v>
      </c>
      <c r="KV1" s="61"/>
      <c r="KW1" s="74" t="s">
        <v>265</v>
      </c>
      <c r="KX1" s="74" t="s">
        <v>266</v>
      </c>
      <c r="KY1" s="74" t="s">
        <v>267</v>
      </c>
      <c r="KZ1" s="74" t="s">
        <v>268</v>
      </c>
      <c r="LA1" s="74" t="s">
        <v>269</v>
      </c>
      <c r="LB1" s="74" t="s">
        <v>270</v>
      </c>
      <c r="LC1" s="74" t="s">
        <v>271</v>
      </c>
      <c r="LD1" s="74" t="s">
        <v>272</v>
      </c>
      <c r="LE1" s="74" t="s">
        <v>273</v>
      </c>
      <c r="LF1" s="74" t="s">
        <v>274</v>
      </c>
      <c r="LG1" s="74" t="s">
        <v>275</v>
      </c>
      <c r="LH1" s="74" t="s">
        <v>276</v>
      </c>
      <c r="LI1" s="74" t="s">
        <v>277</v>
      </c>
      <c r="LJ1" s="74" t="s">
        <v>278</v>
      </c>
      <c r="LK1" s="74" t="s">
        <v>279</v>
      </c>
      <c r="LL1" s="74" t="s">
        <v>280</v>
      </c>
      <c r="LM1" s="74" t="s">
        <v>281</v>
      </c>
    </row>
    <row r="2" spans="1:325" x14ac:dyDescent="0.3">
      <c r="A2" s="11"/>
      <c r="C2" s="25" t="s">
        <v>90</v>
      </c>
      <c r="D2" s="57" t="s">
        <v>89</v>
      </c>
      <c r="E2" t="s">
        <v>160</v>
      </c>
      <c r="F2" t="s">
        <v>160</v>
      </c>
      <c r="G2" t="s">
        <v>160</v>
      </c>
      <c r="H2" t="s">
        <v>160</v>
      </c>
      <c r="I2" t="s">
        <v>160</v>
      </c>
      <c r="J2" t="s">
        <v>160</v>
      </c>
      <c r="K2" t="s">
        <v>160</v>
      </c>
      <c r="L2" t="s">
        <v>160</v>
      </c>
      <c r="M2" t="s">
        <v>160</v>
      </c>
      <c r="N2" t="s">
        <v>160</v>
      </c>
      <c r="O2" t="s">
        <v>160</v>
      </c>
      <c r="P2" t="s">
        <v>160</v>
      </c>
      <c r="Q2" t="s">
        <v>160</v>
      </c>
      <c r="R2" t="s">
        <v>160</v>
      </c>
      <c r="S2" t="s">
        <v>160</v>
      </c>
      <c r="T2" t="s">
        <v>160</v>
      </c>
      <c r="U2" t="s">
        <v>160</v>
      </c>
      <c r="V2" t="s">
        <v>160</v>
      </c>
      <c r="W2" t="s">
        <v>160</v>
      </c>
      <c r="X2" t="s">
        <v>160</v>
      </c>
      <c r="Y2" t="s">
        <v>160</v>
      </c>
      <c r="Z2" t="s">
        <v>160</v>
      </c>
      <c r="AA2" t="s">
        <v>160</v>
      </c>
      <c r="AB2" t="s">
        <v>160</v>
      </c>
      <c r="AC2" t="s">
        <v>160</v>
      </c>
      <c r="AD2" t="s">
        <v>160</v>
      </c>
      <c r="AE2" t="s">
        <v>160</v>
      </c>
      <c r="AF2" t="s">
        <v>160</v>
      </c>
      <c r="AG2" t="s">
        <v>160</v>
      </c>
      <c r="AH2" t="s">
        <v>160</v>
      </c>
      <c r="AI2" t="s">
        <v>160</v>
      </c>
      <c r="AJ2" t="s">
        <v>160</v>
      </c>
      <c r="AK2" t="s">
        <v>160</v>
      </c>
      <c r="AL2" t="s">
        <v>160</v>
      </c>
      <c r="AM2" t="s">
        <v>160</v>
      </c>
      <c r="AN2" t="s">
        <v>160</v>
      </c>
      <c r="AO2" t="s">
        <v>160</v>
      </c>
      <c r="AP2" t="s">
        <v>160</v>
      </c>
      <c r="AQ2" t="s">
        <v>160</v>
      </c>
      <c r="AR2" t="s">
        <v>160</v>
      </c>
      <c r="AS2" t="s">
        <v>160</v>
      </c>
      <c r="AT2" t="s">
        <v>160</v>
      </c>
      <c r="AU2" t="s">
        <v>160</v>
      </c>
      <c r="AV2" t="s">
        <v>160</v>
      </c>
      <c r="AW2" t="s">
        <v>160</v>
      </c>
      <c r="AX2" t="s">
        <v>160</v>
      </c>
      <c r="AY2" t="s">
        <v>160</v>
      </c>
      <c r="AZ2" t="s">
        <v>160</v>
      </c>
      <c r="BA2" t="s">
        <v>160</v>
      </c>
      <c r="BB2" t="s">
        <v>160</v>
      </c>
      <c r="BC2" t="s">
        <v>160</v>
      </c>
      <c r="BD2" t="s">
        <v>160</v>
      </c>
      <c r="BE2" t="s">
        <v>160</v>
      </c>
      <c r="BF2" t="s">
        <v>160</v>
      </c>
      <c r="BG2" t="s">
        <v>160</v>
      </c>
      <c r="BH2" t="s">
        <v>160</v>
      </c>
      <c r="BI2" t="s">
        <v>160</v>
      </c>
      <c r="BJ2" t="s">
        <v>160</v>
      </c>
      <c r="BK2" t="s">
        <v>160</v>
      </c>
      <c r="BL2" t="s">
        <v>160</v>
      </c>
      <c r="BM2" t="s">
        <v>160</v>
      </c>
      <c r="BN2" t="s">
        <v>160</v>
      </c>
      <c r="BO2" t="s">
        <v>160</v>
      </c>
      <c r="BP2" t="s">
        <v>160</v>
      </c>
      <c r="BQ2" t="s">
        <v>160</v>
      </c>
      <c r="BR2" t="s">
        <v>160</v>
      </c>
      <c r="BS2" t="s">
        <v>160</v>
      </c>
      <c r="BT2" t="s">
        <v>160</v>
      </c>
      <c r="BU2" t="s">
        <v>160</v>
      </c>
      <c r="BV2" t="s">
        <v>165</v>
      </c>
      <c r="BW2" t="s">
        <v>169</v>
      </c>
      <c r="BX2" t="s">
        <v>166</v>
      </c>
      <c r="BY2">
        <v>25</v>
      </c>
      <c r="BZ2" t="s">
        <v>173</v>
      </c>
      <c r="CA2" t="s">
        <v>174</v>
      </c>
      <c r="CB2" t="s">
        <v>175</v>
      </c>
      <c r="CC2" t="s">
        <v>201</v>
      </c>
      <c r="CD2" s="30" t="s">
        <v>219</v>
      </c>
      <c r="CE2" t="s">
        <v>203</v>
      </c>
      <c r="CF2" t="s">
        <v>205</v>
      </c>
      <c r="CG2" s="30" t="s">
        <v>207</v>
      </c>
      <c r="CH2" t="s">
        <v>208</v>
      </c>
      <c r="CI2" t="s">
        <v>210</v>
      </c>
      <c r="CJ2" s="30" t="s">
        <v>220</v>
      </c>
      <c r="CK2" s="30" t="s">
        <v>222</v>
      </c>
      <c r="CL2" s="26" t="s">
        <v>160</v>
      </c>
      <c r="CM2" s="26" t="s">
        <v>160</v>
      </c>
      <c r="CN2" s="26" t="s">
        <v>160</v>
      </c>
      <c r="CO2" s="26" t="s">
        <v>160</v>
      </c>
      <c r="CP2" s="26" t="s">
        <v>160</v>
      </c>
      <c r="CQ2" s="26" t="s">
        <v>160</v>
      </c>
      <c r="CR2" s="26" t="s">
        <v>160</v>
      </c>
      <c r="CS2" s="26" t="s">
        <v>160</v>
      </c>
      <c r="CT2" s="26" t="s">
        <v>160</v>
      </c>
      <c r="CU2" s="26" t="s">
        <v>160</v>
      </c>
      <c r="CV2" s="26" t="s">
        <v>160</v>
      </c>
      <c r="CW2" s="26" t="s">
        <v>160</v>
      </c>
      <c r="CX2" s="26" t="s">
        <v>160</v>
      </c>
      <c r="CY2" s="26" t="s">
        <v>160</v>
      </c>
      <c r="CZ2" s="26" t="s">
        <v>160</v>
      </c>
      <c r="DA2" s="26" t="s">
        <v>160</v>
      </c>
      <c r="DB2" s="26" t="s">
        <v>160</v>
      </c>
      <c r="DC2" s="26" t="s">
        <v>160</v>
      </c>
      <c r="DD2" s="26" t="s">
        <v>160</v>
      </c>
      <c r="DE2" s="26" t="s">
        <v>160</v>
      </c>
      <c r="DF2" s="26" t="s">
        <v>160</v>
      </c>
      <c r="DG2" s="26" t="s">
        <v>160</v>
      </c>
      <c r="DH2" s="26" t="s">
        <v>160</v>
      </c>
      <c r="DI2" s="26" t="s">
        <v>160</v>
      </c>
      <c r="DJ2" s="26" t="s">
        <v>160</v>
      </c>
      <c r="DK2" s="26" t="s">
        <v>160</v>
      </c>
      <c r="DL2" s="26" t="s">
        <v>160</v>
      </c>
      <c r="DM2" s="26" t="s">
        <v>160</v>
      </c>
      <c r="DN2" s="26" t="s">
        <v>160</v>
      </c>
      <c r="DO2" s="26" t="s">
        <v>160</v>
      </c>
      <c r="DP2" s="26" t="s">
        <v>160</v>
      </c>
      <c r="DQ2" s="26" t="s">
        <v>160</v>
      </c>
      <c r="DR2" s="26" t="s">
        <v>160</v>
      </c>
      <c r="DS2" s="26" t="s">
        <v>160</v>
      </c>
      <c r="DT2" s="26" t="s">
        <v>160</v>
      </c>
      <c r="DU2" s="26" t="s">
        <v>160</v>
      </c>
      <c r="DV2" s="26" t="s">
        <v>160</v>
      </c>
      <c r="DW2" s="26" t="s">
        <v>160</v>
      </c>
      <c r="DX2" s="26" t="s">
        <v>160</v>
      </c>
      <c r="DY2" s="26" t="s">
        <v>160</v>
      </c>
      <c r="DZ2" s="26" t="s">
        <v>160</v>
      </c>
      <c r="EA2" s="26" t="s">
        <v>160</v>
      </c>
      <c r="EB2" s="26" t="s">
        <v>160</v>
      </c>
      <c r="EC2" s="26" t="s">
        <v>160</v>
      </c>
      <c r="ED2" s="26" t="s">
        <v>160</v>
      </c>
      <c r="EE2" s="26" t="s">
        <v>160</v>
      </c>
      <c r="EF2" s="26" t="s">
        <v>160</v>
      </c>
      <c r="EG2" s="26" t="s">
        <v>160</v>
      </c>
      <c r="EH2" s="26" t="s">
        <v>160</v>
      </c>
      <c r="EI2" s="26" t="s">
        <v>160</v>
      </c>
      <c r="EJ2" s="26" t="s">
        <v>160</v>
      </c>
      <c r="EK2" s="26" t="s">
        <v>160</v>
      </c>
      <c r="EL2" s="26" t="s">
        <v>160</v>
      </c>
      <c r="EM2" s="26" t="s">
        <v>160</v>
      </c>
      <c r="EN2" s="26" t="s">
        <v>160</v>
      </c>
      <c r="EO2" s="26" t="s">
        <v>160</v>
      </c>
      <c r="EP2" s="26" t="s">
        <v>160</v>
      </c>
      <c r="EQ2" s="26" t="s">
        <v>160</v>
      </c>
      <c r="ER2" s="26" t="s">
        <v>160</v>
      </c>
      <c r="ES2" s="26" t="s">
        <v>160</v>
      </c>
      <c r="ET2" s="26" t="s">
        <v>160</v>
      </c>
      <c r="EU2" s="26" t="s">
        <v>160</v>
      </c>
      <c r="EV2" s="26" t="s">
        <v>160</v>
      </c>
      <c r="EW2" s="26" t="s">
        <v>160</v>
      </c>
      <c r="EX2" s="26" t="s">
        <v>160</v>
      </c>
      <c r="EY2" s="26" t="s">
        <v>160</v>
      </c>
      <c r="EZ2" s="26" t="s">
        <v>160</v>
      </c>
      <c r="FA2" s="26" t="s">
        <v>160</v>
      </c>
      <c r="FB2" s="26" t="s">
        <v>160</v>
      </c>
      <c r="FC2" s="31" t="s">
        <v>165</v>
      </c>
      <c r="FD2" s="31" t="s">
        <v>169</v>
      </c>
      <c r="FE2" s="31" t="s">
        <v>166</v>
      </c>
      <c r="FF2" s="33">
        <v>25</v>
      </c>
      <c r="FG2" s="33" t="s">
        <v>173</v>
      </c>
      <c r="FH2" s="33" t="s">
        <v>174</v>
      </c>
      <c r="FI2" s="33" t="s">
        <v>175</v>
      </c>
      <c r="FJ2" s="47" t="s">
        <v>201</v>
      </c>
      <c r="FK2" s="45" t="s">
        <v>218</v>
      </c>
      <c r="FL2" s="47" t="s">
        <v>203</v>
      </c>
      <c r="FM2" s="45" t="s">
        <v>211</v>
      </c>
      <c r="FN2" s="45" t="s">
        <v>207</v>
      </c>
      <c r="FO2" s="47" t="s">
        <v>208</v>
      </c>
      <c r="FP2" s="47" t="s">
        <v>210</v>
      </c>
      <c r="FQ2" s="45" t="s">
        <v>224</v>
      </c>
      <c r="FR2" s="45" t="s">
        <v>222</v>
      </c>
      <c r="FT2" s="29"/>
      <c r="FU2" s="3" t="s">
        <v>176</v>
      </c>
      <c r="FV2" s="3" t="s">
        <v>179</v>
      </c>
      <c r="FW2" s="3" t="s">
        <v>177</v>
      </c>
      <c r="FX2" s="3" t="s">
        <v>183</v>
      </c>
      <c r="FY2" s="3" t="s">
        <v>180</v>
      </c>
      <c r="FZ2" s="3" t="s">
        <v>178</v>
      </c>
      <c r="GA2" s="3" t="s">
        <v>181</v>
      </c>
      <c r="GB2" s="3" t="s">
        <v>182</v>
      </c>
      <c r="GC2" s="3" t="s">
        <v>184</v>
      </c>
      <c r="GD2" s="3" t="s">
        <v>185</v>
      </c>
      <c r="GE2" s="3" t="s">
        <v>186</v>
      </c>
      <c r="GF2" s="4" t="s">
        <v>189</v>
      </c>
      <c r="GG2" s="3" t="s">
        <v>190</v>
      </c>
      <c r="GI2" s="3" t="s">
        <v>191</v>
      </c>
      <c r="GJ2" s="3" t="s">
        <v>214</v>
      </c>
      <c r="GK2" s="3" t="s">
        <v>215</v>
      </c>
      <c r="GM2" s="37" t="s">
        <v>176</v>
      </c>
      <c r="GN2" s="37" t="s">
        <v>179</v>
      </c>
      <c r="GO2" s="37" t="s">
        <v>177</v>
      </c>
      <c r="GP2" s="37" t="s">
        <v>183</v>
      </c>
      <c r="GQ2" s="37" t="s">
        <v>180</v>
      </c>
      <c r="GR2" s="37" t="s">
        <v>178</v>
      </c>
      <c r="GS2" s="37" t="s">
        <v>181</v>
      </c>
      <c r="GT2" s="37" t="s">
        <v>182</v>
      </c>
      <c r="GU2" s="37" t="s">
        <v>184</v>
      </c>
      <c r="GV2" s="37" t="s">
        <v>185</v>
      </c>
      <c r="GW2" s="37" t="s">
        <v>186</v>
      </c>
      <c r="GX2" s="38" t="s">
        <v>189</v>
      </c>
      <c r="GY2" s="37" t="s">
        <v>190</v>
      </c>
      <c r="GZ2" s="37" t="s">
        <v>191</v>
      </c>
      <c r="HA2" s="50" t="s">
        <v>191</v>
      </c>
      <c r="HB2" s="50" t="s">
        <v>226</v>
      </c>
      <c r="HC2" s="50" t="s">
        <v>227</v>
      </c>
      <c r="HD2" s="22" t="s">
        <v>0</v>
      </c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 s="35"/>
      <c r="HW2" s="55"/>
      <c r="HX2" s="22" t="s">
        <v>0</v>
      </c>
      <c r="IW2" s="66"/>
      <c r="IX2" s="66"/>
      <c r="IY2" s="66"/>
      <c r="JS2" s="69"/>
      <c r="JT2" s="69"/>
      <c r="JV2" s="73"/>
      <c r="JW2" s="73"/>
      <c r="JX2" s="73"/>
      <c r="JY2" s="73"/>
      <c r="JZ2" s="73"/>
      <c r="KA2" s="73"/>
      <c r="KB2" s="73"/>
      <c r="KC2" s="73"/>
      <c r="KD2" s="73"/>
      <c r="KE2" s="73"/>
      <c r="KF2" s="73"/>
      <c r="KG2" s="73"/>
      <c r="KH2" s="73"/>
      <c r="KI2" s="73"/>
      <c r="KJ2" s="73"/>
      <c r="KK2" s="73"/>
      <c r="KL2" s="73"/>
      <c r="KM2" s="73"/>
      <c r="KN2" s="73"/>
      <c r="KO2" s="73"/>
      <c r="KP2" s="73"/>
      <c r="KQ2" s="73"/>
      <c r="KS2" s="66"/>
      <c r="KT2" s="66"/>
      <c r="KU2" s="66"/>
      <c r="KW2" s="32"/>
      <c r="KX2" s="32"/>
      <c r="KY2" s="32"/>
      <c r="KZ2" s="32"/>
      <c r="LA2" s="32"/>
      <c r="LB2" s="32"/>
      <c r="LC2" s="32"/>
      <c r="LD2" s="32"/>
      <c r="LE2" s="32"/>
      <c r="LF2" s="32"/>
      <c r="LG2" s="32"/>
      <c r="LH2" s="32"/>
      <c r="LI2" s="32"/>
      <c r="LJ2" s="32"/>
      <c r="LK2" s="32"/>
      <c r="LL2" s="32"/>
      <c r="LM2" s="32"/>
    </row>
    <row r="3" spans="1:325" x14ac:dyDescent="0.3">
      <c r="A3" s="11" t="s">
        <v>10</v>
      </c>
      <c r="B3" s="59">
        <v>7.9000000000000008E-3</v>
      </c>
      <c r="C3" s="3">
        <v>0.38700000000000001</v>
      </c>
      <c r="D3" s="57">
        <f t="shared" ref="D3:D25" si="0">C:C/B:B</f>
        <v>48.987341772151893</v>
      </c>
      <c r="E3"/>
      <c r="F3">
        <v>0.19</v>
      </c>
      <c r="G3">
        <v>0.4</v>
      </c>
      <c r="H3"/>
      <c r="I3"/>
      <c r="J3">
        <v>0.64</v>
      </c>
      <c r="K3">
        <v>0.41</v>
      </c>
      <c r="L3"/>
      <c r="M3">
        <v>0.64</v>
      </c>
      <c r="N3">
        <v>0.39</v>
      </c>
      <c r="O3">
        <v>0.37</v>
      </c>
      <c r="P3">
        <v>0.81</v>
      </c>
      <c r="Q3">
        <v>0.46</v>
      </c>
      <c r="R3">
        <v>0.44</v>
      </c>
      <c r="S3">
        <v>0.4</v>
      </c>
      <c r="T3">
        <v>0.44</v>
      </c>
      <c r="U3">
        <v>0.98</v>
      </c>
      <c r="V3">
        <v>0.66</v>
      </c>
      <c r="W3">
        <v>0.6</v>
      </c>
      <c r="X3">
        <v>0.69</v>
      </c>
      <c r="Y3">
        <v>1</v>
      </c>
      <c r="Z3">
        <v>1.2</v>
      </c>
      <c r="AA3"/>
      <c r="AB3">
        <v>1</v>
      </c>
      <c r="AC3">
        <v>1.06</v>
      </c>
      <c r="AD3">
        <v>1.4</v>
      </c>
      <c r="AE3">
        <v>0.96</v>
      </c>
      <c r="AF3">
        <v>1.1599999999999999</v>
      </c>
      <c r="AG3">
        <v>0.52</v>
      </c>
      <c r="AH3">
        <v>0.77</v>
      </c>
      <c r="AI3">
        <v>1.05</v>
      </c>
      <c r="AJ3">
        <v>2.2599999999999998</v>
      </c>
      <c r="AK3">
        <v>1.0900000000000001</v>
      </c>
      <c r="AL3">
        <v>1.19</v>
      </c>
      <c r="AM3">
        <v>1</v>
      </c>
      <c r="AN3"/>
      <c r="AO3"/>
      <c r="AP3">
        <v>0.33</v>
      </c>
      <c r="AQ3"/>
      <c r="AR3">
        <v>0.3</v>
      </c>
      <c r="AS3">
        <v>1.28</v>
      </c>
      <c r="AT3">
        <v>0.81</v>
      </c>
      <c r="AU3">
        <v>1.1200000000000001</v>
      </c>
      <c r="AV3">
        <v>1.43</v>
      </c>
      <c r="AW3">
        <v>1.48</v>
      </c>
      <c r="AX3">
        <v>0.61</v>
      </c>
      <c r="AY3">
        <v>0.7</v>
      </c>
      <c r="AZ3">
        <v>0.48</v>
      </c>
      <c r="BA3">
        <v>0.78</v>
      </c>
      <c r="BB3">
        <v>0.9</v>
      </c>
      <c r="BC3">
        <v>0.11</v>
      </c>
      <c r="BD3">
        <v>0.16</v>
      </c>
      <c r="BE3">
        <v>0.11</v>
      </c>
      <c r="BF3">
        <v>1.37</v>
      </c>
      <c r="BG3">
        <v>0.6</v>
      </c>
      <c r="BH3"/>
      <c r="BI3">
        <v>0.52</v>
      </c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>
        <v>0.3</v>
      </c>
      <c r="CB3"/>
      <c r="CC3"/>
      <c r="CD3"/>
      <c r="CE3"/>
      <c r="CF3"/>
      <c r="CG3"/>
      <c r="CH3">
        <v>1.47</v>
      </c>
      <c r="CI3" s="3">
        <v>0.12</v>
      </c>
      <c r="CJ3" s="3">
        <v>0.35899999999999999</v>
      </c>
      <c r="CK3" s="3">
        <v>0.20200000000000001</v>
      </c>
      <c r="CL3" s="27"/>
      <c r="CM3" s="27">
        <f t="shared" ref="CM3:CM25" si="1">F3/B3</f>
        <v>24.050632911392402</v>
      </c>
      <c r="CN3" s="27">
        <f>G3/B3</f>
        <v>50.632911392405063</v>
      </c>
      <c r="CO3" s="27"/>
      <c r="CP3" s="27"/>
      <c r="CQ3" s="27">
        <f>J3/B3</f>
        <v>81.012658227848092</v>
      </c>
      <c r="CR3" s="27">
        <f t="shared" ref="CR3:CR25" si="2">K3/B3</f>
        <v>51.898734177215182</v>
      </c>
      <c r="CS3" s="27"/>
      <c r="CT3" s="27">
        <f t="shared" ref="CT3:CT25" si="3">M3/B3</f>
        <v>81.012658227848092</v>
      </c>
      <c r="CU3" s="27">
        <f>N3/B3</f>
        <v>49.367088607594937</v>
      </c>
      <c r="CV3" s="27">
        <f t="shared" ref="CV3:CV25" si="4">O3/B3</f>
        <v>46.835443037974677</v>
      </c>
      <c r="CW3" s="27">
        <f>P3/B3</f>
        <v>102.53164556962025</v>
      </c>
      <c r="CX3" s="27">
        <f>Q3/B3</f>
        <v>58.22784810126582</v>
      </c>
      <c r="CY3" s="27">
        <f>R3/B3</f>
        <v>55.696202531645568</v>
      </c>
      <c r="CZ3" s="27">
        <f t="shared" ref="CZ3:CZ25" si="5">S3/B3</f>
        <v>50.632911392405063</v>
      </c>
      <c r="DA3" s="27">
        <f t="shared" ref="DA3:DA25" si="6">T3/B3</f>
        <v>55.696202531645568</v>
      </c>
      <c r="DB3" s="27">
        <f t="shared" ref="DB3:DB25" si="7">U3/B3</f>
        <v>124.05063291139238</v>
      </c>
      <c r="DC3" s="27">
        <f t="shared" ref="DC3:DC25" si="8">V3/B3</f>
        <v>83.544303797468345</v>
      </c>
      <c r="DD3" s="27">
        <f t="shared" ref="DD3:DD25" si="9">W3/B3</f>
        <v>75.949367088607588</v>
      </c>
      <c r="DE3" s="27">
        <f t="shared" ref="DE3:DE25" si="10">X3/B3</f>
        <v>87.341772151898724</v>
      </c>
      <c r="DF3" s="27">
        <f t="shared" ref="DF3:DF25" si="11">Y3/B3</f>
        <v>126.58227848101265</v>
      </c>
      <c r="DG3" s="27">
        <f t="shared" ref="DG3:DG25" si="12">Z3/B3</f>
        <v>151.89873417721518</v>
      </c>
      <c r="DH3" s="27"/>
      <c r="DI3" s="27">
        <f t="shared" ref="DI3:DI25" si="13">AB3/B3</f>
        <v>126.58227848101265</v>
      </c>
      <c r="DJ3" s="27">
        <f t="shared" ref="DJ3:DJ25" si="14">AC3/B3</f>
        <v>134.17721518987341</v>
      </c>
      <c r="DK3" s="27">
        <f t="shared" ref="DK3:DK25" si="15">AD3/B3</f>
        <v>177.2151898734177</v>
      </c>
      <c r="DL3" s="27">
        <f t="shared" ref="DL3:DL25" si="16">AE3/B3</f>
        <v>121.51898734177213</v>
      </c>
      <c r="DM3" s="27">
        <f t="shared" ref="DM3:DM25" si="17">AF3/B3</f>
        <v>146.83544303797467</v>
      </c>
      <c r="DN3" s="27">
        <f t="shared" ref="DN3:DN25" si="18">AG3/B3</f>
        <v>65.822784810126578</v>
      </c>
      <c r="DO3" s="27">
        <f t="shared" ref="DO3:DO25" si="19">AH3/B3</f>
        <v>97.468354430379733</v>
      </c>
      <c r="DP3" s="27">
        <f t="shared" ref="DP3:DP25" si="20">AI3/B3</f>
        <v>132.91139240506328</v>
      </c>
      <c r="DQ3" s="27">
        <f t="shared" ref="DQ3:DQ25" si="21">AJ3/B3</f>
        <v>286.07594936708853</v>
      </c>
      <c r="DR3" s="27">
        <f t="shared" ref="DR3:DR25" si="22">AK3/B3</f>
        <v>137.97468354430379</v>
      </c>
      <c r="DS3" s="27">
        <f t="shared" ref="DS3:DS25" si="23">AL3/B3</f>
        <v>150.63291139240505</v>
      </c>
      <c r="DT3" s="27">
        <f t="shared" ref="DT3:DT25" si="24">AM3/B3</f>
        <v>126.58227848101265</v>
      </c>
      <c r="DU3" s="27"/>
      <c r="DV3" s="27"/>
      <c r="DW3" s="27">
        <f t="shared" ref="DW3:DW25" si="25">AP3/B3</f>
        <v>41.772151898734172</v>
      </c>
      <c r="DX3" s="27"/>
      <c r="DY3" s="27">
        <f t="shared" ref="DY3:DY25" si="26">AR3/B3</f>
        <v>37.974683544303794</v>
      </c>
      <c r="DZ3" s="27">
        <f t="shared" ref="DZ3:DZ25" si="27">AS3/B3</f>
        <v>162.02531645569618</v>
      </c>
      <c r="EA3" s="27">
        <f t="shared" ref="EA3:EA25" si="28">AT3/B3</f>
        <v>102.53164556962025</v>
      </c>
      <c r="EB3" s="27">
        <f t="shared" ref="EB3:EB25" si="29">AU3/B3</f>
        <v>141.77215189873417</v>
      </c>
      <c r="EC3" s="27">
        <f t="shared" ref="EC3:EC25" si="30">AV3/B3</f>
        <v>181.01265822784808</v>
      </c>
      <c r="ED3" s="27">
        <f t="shared" ref="ED3:ED25" si="31">AW3/B3</f>
        <v>187.34177215189871</v>
      </c>
      <c r="EE3" s="27">
        <f t="shared" ref="EE3:EE25" si="32">AX3/B3</f>
        <v>77.215189873417714</v>
      </c>
      <c r="EF3" s="27">
        <f t="shared" ref="EF3:EF25" si="33">AY3/B3</f>
        <v>88.60759493670885</v>
      </c>
      <c r="EG3" s="27">
        <f t="shared" ref="EG3:EG25" si="34">AZ3/B3</f>
        <v>60.759493670886066</v>
      </c>
      <c r="EH3" s="27">
        <f t="shared" ref="EH3:EH25" si="35">BA3/B3</f>
        <v>98.734177215189874</v>
      </c>
      <c r="EI3" s="27">
        <f t="shared" ref="EI3:EI25" si="36">BB3/B3</f>
        <v>113.92405063291139</v>
      </c>
      <c r="EJ3" s="27">
        <f t="shared" ref="EJ3:EJ25" si="37">BC3/B3</f>
        <v>13.924050632911392</v>
      </c>
      <c r="EK3" s="27">
        <f>BD3/B3</f>
        <v>20.253164556962023</v>
      </c>
      <c r="EL3" s="27">
        <f t="shared" ref="EL3:EL25" si="38">BE3/B3</f>
        <v>13.924050632911392</v>
      </c>
      <c r="EM3" s="27">
        <f t="shared" ref="EM3:EM25" si="39">BF3/B3</f>
        <v>173.41772151898735</v>
      </c>
      <c r="EN3" s="27">
        <f t="shared" ref="EN3:EN25" si="40">BG3/B3</f>
        <v>75.949367088607588</v>
      </c>
      <c r="EO3" s="27"/>
      <c r="EP3" s="27">
        <f t="shared" ref="EP3:EP25" si="41">BI3/B3</f>
        <v>65.822784810126578</v>
      </c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31">
        <f>BV4/B4</f>
        <v>36.220472440944881</v>
      </c>
      <c r="FD3" s="31">
        <f>BW4/B4</f>
        <v>34.645669291338585</v>
      </c>
      <c r="FE3" s="31">
        <f>BX4/B4</f>
        <v>29.921259842519685</v>
      </c>
      <c r="FF3" s="31"/>
      <c r="FG3" s="31"/>
      <c r="FH3" s="31">
        <f t="shared" ref="FH3:FH12" si="42">CA3/B3</f>
        <v>37.974683544303794</v>
      </c>
      <c r="FI3" s="31"/>
      <c r="FJ3" s="31">
        <f t="shared" ref="FJ3:FJ25" si="43">CC3/B3</f>
        <v>0</v>
      </c>
      <c r="FK3" s="31"/>
      <c r="FL3" s="31">
        <f t="shared" ref="FL3:FL25" si="44">CE3/B3</f>
        <v>0</v>
      </c>
      <c r="FM3" s="31">
        <f t="shared" ref="FM3:FM25" si="45">CF3/B3</f>
        <v>0</v>
      </c>
      <c r="FN3" s="31">
        <f t="shared" ref="FN3:FN25" si="46">CG3/B3</f>
        <v>0</v>
      </c>
      <c r="FO3" s="31">
        <f t="shared" ref="FO3:FO25" si="47">CH3/B3</f>
        <v>186.07594936708858</v>
      </c>
      <c r="FP3" s="31">
        <f t="shared" ref="FP3:FP25" si="48">CI3/B3</f>
        <v>15.189873417721516</v>
      </c>
      <c r="FQ3" s="31">
        <f t="shared" ref="FQ3:FQ25" si="49">CJ3/B3</f>
        <v>45.443037974683541</v>
      </c>
      <c r="FR3" s="31">
        <f t="shared" ref="FR3:FR25" si="50">CK3/B3</f>
        <v>25.569620253164555</v>
      </c>
      <c r="FS3" s="3">
        <v>7.0000000000000001E-3</v>
      </c>
      <c r="FT3" s="29">
        <f t="shared" ref="FT3:FT9" si="51">FS3/B3</f>
        <v>0.88607594936708856</v>
      </c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H3" s="23" t="s">
        <v>10</v>
      </c>
      <c r="GI3" s="23"/>
      <c r="GJ3" s="23"/>
      <c r="GK3" s="23"/>
      <c r="GL3" s="36">
        <v>7.9000000000000008E-3</v>
      </c>
      <c r="GM3" s="37"/>
      <c r="GN3" s="37"/>
      <c r="GO3" s="37"/>
      <c r="GP3" s="37"/>
      <c r="GQ3" s="37"/>
      <c r="GR3" s="37"/>
      <c r="GS3" s="37"/>
      <c r="GT3" s="37"/>
      <c r="GU3" s="37"/>
      <c r="GV3" s="37"/>
      <c r="GW3" s="37"/>
      <c r="GX3" s="37"/>
      <c r="GY3" s="37"/>
      <c r="GZ3" s="37"/>
      <c r="HA3" s="50"/>
      <c r="HB3" s="50"/>
      <c r="HC3" s="50"/>
      <c r="HD3" s="23" t="s">
        <v>10</v>
      </c>
      <c r="HE3" s="36">
        <v>7.9000000000000008E-3</v>
      </c>
      <c r="HG3" s="3">
        <f>F3/B3</f>
        <v>24.050632911392402</v>
      </c>
      <c r="HH3" s="3">
        <f>F3/B3</f>
        <v>24.050632911392402</v>
      </c>
      <c r="HI3" s="3">
        <f>G3/B3</f>
        <v>50.632911392405063</v>
      </c>
      <c r="HJ3" s="3">
        <f t="shared" ref="HJ3:HR18" si="52">H3/C3</f>
        <v>0</v>
      </c>
      <c r="HK3" s="3">
        <f t="shared" si="52"/>
        <v>0</v>
      </c>
      <c r="HM3" s="3">
        <f t="shared" si="52"/>
        <v>2.1578947368421053</v>
      </c>
      <c r="HN3" s="3">
        <f t="shared" si="52"/>
        <v>0</v>
      </c>
      <c r="HQ3" s="3">
        <f t="shared" si="52"/>
        <v>0.578125</v>
      </c>
      <c r="HR3" s="3">
        <f t="shared" si="52"/>
        <v>1.9756097560975612</v>
      </c>
      <c r="HT3" s="3">
        <f t="shared" ref="HT3" si="53">R3/M3</f>
        <v>0.6875</v>
      </c>
      <c r="HU3" s="3">
        <f t="shared" ref="HU3" si="54">S3/N3</f>
        <v>1.0256410256410258</v>
      </c>
      <c r="HV3" s="36">
        <v>7.9000000000000008E-3</v>
      </c>
      <c r="HW3" s="56"/>
      <c r="HX3" s="23" t="s">
        <v>10</v>
      </c>
      <c r="HZ3" s="63">
        <v>4.5646966997264213E-2</v>
      </c>
      <c r="IA3" s="63">
        <v>0.59298097721614496</v>
      </c>
      <c r="IB3" s="63">
        <v>0.63044800960370573</v>
      </c>
      <c r="IC3" s="63">
        <v>0.5289734339830181</v>
      </c>
      <c r="ID3" s="63">
        <v>1.1203884360269308E-2</v>
      </c>
      <c r="IE3" s="63">
        <v>3.0627264624850676E-2</v>
      </c>
      <c r="IF3" s="63">
        <v>0.37161712047381906</v>
      </c>
      <c r="IG3" s="63">
        <v>1.0413601211832281E-2</v>
      </c>
      <c r="IH3" s="63">
        <v>0.32200957221239856</v>
      </c>
      <c r="II3" s="63">
        <v>1.1226674549187948E-2</v>
      </c>
      <c r="IJ3" s="63">
        <v>0.22428586030132483</v>
      </c>
      <c r="IK3" s="63">
        <v>0.24114912701032973</v>
      </c>
      <c r="IL3" s="64">
        <v>1.6641565073517556E-3</v>
      </c>
      <c r="IM3" s="64">
        <v>8.0553749483791459E-2</v>
      </c>
      <c r="IN3" s="64">
        <v>2.4566404116225384E-2</v>
      </c>
      <c r="IO3" s="64">
        <v>0.22414745182985327</v>
      </c>
      <c r="IP3" s="64">
        <v>0.31657206865144394</v>
      </c>
      <c r="IQ3" s="64">
        <v>0.38269889676840635</v>
      </c>
      <c r="IR3" s="64">
        <v>2.6131847902762396E-2</v>
      </c>
      <c r="IS3" s="64">
        <v>0.36134029883139185</v>
      </c>
      <c r="IT3" s="64">
        <v>0.34137729158885372</v>
      </c>
      <c r="IU3" s="64">
        <v>1.1745327549501068E-2</v>
      </c>
      <c r="IW3" s="65">
        <v>4.5815397023646863E-2</v>
      </c>
      <c r="IX3" s="65">
        <v>2.4667750802332376E-2</v>
      </c>
      <c r="IY3" s="65">
        <v>8.2750943883405214E-3</v>
      </c>
      <c r="JA3" s="64">
        <v>7.0735376630805077E-2</v>
      </c>
      <c r="JB3" s="64">
        <v>0.39418875407807408</v>
      </c>
      <c r="JC3" s="64">
        <v>0.41660364218246582</v>
      </c>
      <c r="JD3" s="64">
        <v>0.59196954500347843</v>
      </c>
      <c r="JE3" s="64">
        <v>0.27413452116496451</v>
      </c>
      <c r="JF3" s="64">
        <v>0.33992638808303388</v>
      </c>
      <c r="JG3" s="64">
        <v>0.18562645628329849</v>
      </c>
      <c r="JH3" s="64">
        <v>0.1772535369139937</v>
      </c>
      <c r="JI3" s="64">
        <v>0.24638824303234599</v>
      </c>
      <c r="JJ3" s="64">
        <v>0.26363557992189202</v>
      </c>
      <c r="JK3" s="64">
        <v>0.28958341791652764</v>
      </c>
      <c r="JL3" s="64">
        <v>0.32904778531909468</v>
      </c>
      <c r="JM3" s="64">
        <v>0.56881402158804151</v>
      </c>
      <c r="JN3" s="64">
        <v>0.19087488797631028</v>
      </c>
      <c r="JO3" s="63">
        <v>0.19302747151273664</v>
      </c>
      <c r="JP3" s="63">
        <v>0.26111621271211549</v>
      </c>
      <c r="JQ3" s="63">
        <v>0.1646957301328458</v>
      </c>
      <c r="JS3" s="69"/>
      <c r="JT3" s="69"/>
      <c r="JV3" s="73">
        <f>HZ3/B3</f>
        <v>5.7780970882612923</v>
      </c>
      <c r="JW3" s="73">
        <f>IA3/HV3</f>
        <v>75.060883191917071</v>
      </c>
      <c r="JX3" s="73">
        <f>IB3/HV3</f>
        <v>79.803545519456407</v>
      </c>
      <c r="JY3" s="73">
        <f>IC3/HV3</f>
        <v>66.958662529495953</v>
      </c>
      <c r="JZ3" s="73">
        <f>ID3/HV3</f>
        <v>1.4182132101606717</v>
      </c>
      <c r="KA3" s="73">
        <f>IE3/HV3</f>
        <v>3.8768689398545155</v>
      </c>
      <c r="KB3" s="73">
        <f>IF3/HV3</f>
        <v>47.040141832128988</v>
      </c>
      <c r="KC3" s="73">
        <f>IG3/HV3</f>
        <v>1.3181773685863645</v>
      </c>
      <c r="KD3" s="73">
        <f>IH3/HV3</f>
        <v>40.760705343341584</v>
      </c>
      <c r="KE3" s="73">
        <f>II3/HV3</f>
        <v>1.4210980442010059</v>
      </c>
      <c r="KF3" s="73">
        <f>IJ3/HV3</f>
        <v>28.390615228015797</v>
      </c>
      <c r="KG3" s="73">
        <f>IK3/HV3</f>
        <v>30.525205950674646</v>
      </c>
      <c r="KH3" s="73">
        <f>IL3/HV3</f>
        <v>0.2106527224495893</v>
      </c>
      <c r="KI3" s="73">
        <f>IM3/HV3</f>
        <v>10.196677149847019</v>
      </c>
      <c r="KJ3" s="73">
        <f>IN3/HV3</f>
        <v>3.109671407117137</v>
      </c>
      <c r="KK3" s="73">
        <f>IO3/HV3</f>
        <v>28.373095168335855</v>
      </c>
      <c r="KL3" s="73">
        <f>IP3/HV3</f>
        <v>40.072413753347327</v>
      </c>
      <c r="KM3" s="73">
        <f>IQ3/HV3</f>
        <v>48.442898325114726</v>
      </c>
      <c r="KN3" s="73">
        <f>IR3/HV3</f>
        <v>3.3078288484509359</v>
      </c>
      <c r="KO3" s="73">
        <f>IS3/HV3</f>
        <v>45.739278333087569</v>
      </c>
      <c r="KP3" s="73">
        <f>IT3/HV3</f>
        <v>43.212315390994135</v>
      </c>
      <c r="KQ3" s="73">
        <f>IU3/HV3</f>
        <v>1.4867503227216541</v>
      </c>
      <c r="KS3" s="66">
        <f>IW3/HV3</f>
        <v>5.7994173447654251</v>
      </c>
      <c r="KT3" s="66">
        <f>IX3/HV3</f>
        <v>3.1225001015610601</v>
      </c>
      <c r="KU3" s="66">
        <f>IY3/HV3</f>
        <v>1.0474803023215848</v>
      </c>
      <c r="KW3" s="32">
        <f>JA3/HV3</f>
        <v>8.9538451431398816</v>
      </c>
      <c r="KX3" s="32">
        <f>JB3/HV3</f>
        <v>49.897310642794181</v>
      </c>
      <c r="KY3" s="32">
        <f>JC3/HV3</f>
        <v>52.734638250945032</v>
      </c>
      <c r="KZ3" s="32">
        <f>JD3/HV3</f>
        <v>74.932853797908649</v>
      </c>
      <c r="LA3" s="32">
        <f>JE3/HV3</f>
        <v>34.700572299362591</v>
      </c>
      <c r="LB3" s="32">
        <f>JF3/HV3</f>
        <v>43.028656719371376</v>
      </c>
      <c r="LC3" s="32">
        <f>JG3/HV3</f>
        <v>23.497019782696011</v>
      </c>
      <c r="LD3" s="32">
        <f>JH3/HV3</f>
        <v>22.437156571391604</v>
      </c>
      <c r="LE3" s="32">
        <f>JI3/HV3</f>
        <v>31.188385193967843</v>
      </c>
      <c r="LF3" s="32">
        <f>JJ3/HV3</f>
        <v>33.371592395176201</v>
      </c>
      <c r="LG3" s="32">
        <f>JK3/HV3</f>
        <v>36.656128850193369</v>
      </c>
      <c r="LH3" s="32">
        <f>JL3/HV3</f>
        <v>41.651618394822108</v>
      </c>
      <c r="LI3" s="32">
        <f>JM3/HV3</f>
        <v>72.001774884562209</v>
      </c>
      <c r="LJ3" s="32">
        <f>JN3/HV3</f>
        <v>24.1613782248494</v>
      </c>
      <c r="LK3" s="32">
        <f>JO3/HV3</f>
        <v>24.433857153510964</v>
      </c>
      <c r="LL3" s="32">
        <f>JP3/HV3</f>
        <v>33.052685153432336</v>
      </c>
      <c r="LM3" s="32">
        <f>JQ3/HV3</f>
        <v>20.847560776309592</v>
      </c>
    </row>
    <row r="4" spans="1:325" x14ac:dyDescent="0.3">
      <c r="A4" s="11" t="s">
        <v>5</v>
      </c>
      <c r="B4" s="59">
        <v>0.63500000000000001</v>
      </c>
      <c r="C4" s="3">
        <v>31</v>
      </c>
      <c r="D4" s="57">
        <f t="shared" si="0"/>
        <v>48.818897637795274</v>
      </c>
      <c r="E4">
        <v>12</v>
      </c>
      <c r="F4">
        <v>10</v>
      </c>
      <c r="G4">
        <v>15</v>
      </c>
      <c r="H4">
        <v>14</v>
      </c>
      <c r="I4">
        <v>23</v>
      </c>
      <c r="J4">
        <v>37</v>
      </c>
      <c r="K4">
        <v>29</v>
      </c>
      <c r="L4">
        <v>25</v>
      </c>
      <c r="M4">
        <v>28</v>
      </c>
      <c r="N4">
        <v>27</v>
      </c>
      <c r="O4">
        <v>21</v>
      </c>
      <c r="P4">
        <v>26</v>
      </c>
      <c r="Q4">
        <v>16</v>
      </c>
      <c r="R4">
        <v>21</v>
      </c>
      <c r="S4">
        <v>31</v>
      </c>
      <c r="T4">
        <v>15</v>
      </c>
      <c r="U4">
        <v>28</v>
      </c>
      <c r="V4">
        <v>24</v>
      </c>
      <c r="W4">
        <v>26</v>
      </c>
      <c r="X4">
        <v>34</v>
      </c>
      <c r="Y4">
        <v>42</v>
      </c>
      <c r="Z4">
        <v>37</v>
      </c>
      <c r="AA4">
        <v>53</v>
      </c>
      <c r="AB4">
        <v>36</v>
      </c>
      <c r="AC4">
        <v>44</v>
      </c>
      <c r="AD4">
        <v>35</v>
      </c>
      <c r="AE4">
        <v>31</v>
      </c>
      <c r="AF4">
        <v>38</v>
      </c>
      <c r="AG4">
        <v>33</v>
      </c>
      <c r="AH4">
        <v>29</v>
      </c>
      <c r="AI4">
        <v>34</v>
      </c>
      <c r="AJ4">
        <v>58</v>
      </c>
      <c r="AK4">
        <v>51</v>
      </c>
      <c r="AL4">
        <v>45</v>
      </c>
      <c r="AM4">
        <v>40</v>
      </c>
      <c r="AN4">
        <v>52</v>
      </c>
      <c r="AO4">
        <v>21</v>
      </c>
      <c r="AP4">
        <v>24</v>
      </c>
      <c r="AQ4">
        <v>27</v>
      </c>
      <c r="AR4">
        <v>20</v>
      </c>
      <c r="AS4">
        <v>29</v>
      </c>
      <c r="AT4">
        <v>41</v>
      </c>
      <c r="AU4">
        <v>39</v>
      </c>
      <c r="AV4">
        <v>48</v>
      </c>
      <c r="AW4">
        <v>49</v>
      </c>
      <c r="AX4">
        <v>23</v>
      </c>
      <c r="AY4">
        <v>26</v>
      </c>
      <c r="AZ4">
        <v>27</v>
      </c>
      <c r="BA4">
        <v>29</v>
      </c>
      <c r="BB4">
        <v>33</v>
      </c>
      <c r="BC4">
        <v>4</v>
      </c>
      <c r="BD4">
        <v>9</v>
      </c>
      <c r="BE4">
        <v>13</v>
      </c>
      <c r="BF4">
        <v>50</v>
      </c>
      <c r="BG4">
        <v>43</v>
      </c>
      <c r="BH4">
        <v>34</v>
      </c>
      <c r="BI4">
        <v>23</v>
      </c>
      <c r="BJ4">
        <v>20</v>
      </c>
      <c r="BK4">
        <v>27</v>
      </c>
      <c r="BL4">
        <v>46</v>
      </c>
      <c r="BM4">
        <v>44</v>
      </c>
      <c r="BN4">
        <v>38</v>
      </c>
      <c r="BO4">
        <v>8</v>
      </c>
      <c r="BP4">
        <v>9</v>
      </c>
      <c r="BQ4">
        <v>23</v>
      </c>
      <c r="BR4">
        <v>15</v>
      </c>
      <c r="BS4">
        <v>32</v>
      </c>
      <c r="BT4">
        <v>44</v>
      </c>
      <c r="BU4">
        <v>33</v>
      </c>
      <c r="BV4">
        <v>23</v>
      </c>
      <c r="BW4">
        <v>22</v>
      </c>
      <c r="BX4">
        <v>19</v>
      </c>
      <c r="BY4">
        <v>34</v>
      </c>
      <c r="BZ4">
        <v>74</v>
      </c>
      <c r="CA4">
        <v>12</v>
      </c>
      <c r="CB4">
        <v>13</v>
      </c>
      <c r="CC4">
        <v>16</v>
      </c>
      <c r="CD4">
        <v>26</v>
      </c>
      <c r="CE4">
        <v>14</v>
      </c>
      <c r="CF4">
        <v>14</v>
      </c>
      <c r="CG4">
        <v>9.6999999999999993</v>
      </c>
      <c r="CH4">
        <v>3.97</v>
      </c>
      <c r="CI4" s="3">
        <v>10.9</v>
      </c>
      <c r="CJ4" s="3">
        <v>37.6</v>
      </c>
      <c r="CK4" s="3">
        <v>4.7</v>
      </c>
      <c r="CL4" s="27">
        <f>E4/B4</f>
        <v>18.897637795275589</v>
      </c>
      <c r="CM4" s="27">
        <f t="shared" si="1"/>
        <v>15.748031496062993</v>
      </c>
      <c r="CN4" s="27">
        <f>G4/B4</f>
        <v>23.622047244094489</v>
      </c>
      <c r="CO4" s="27">
        <f>H4/B4</f>
        <v>22.047244094488189</v>
      </c>
      <c r="CP4" s="27">
        <f>I4/B4</f>
        <v>36.220472440944881</v>
      </c>
      <c r="CQ4" s="27">
        <f>J4/B4</f>
        <v>58.267716535433067</v>
      </c>
      <c r="CR4" s="27">
        <f t="shared" si="2"/>
        <v>45.669291338582674</v>
      </c>
      <c r="CS4" s="27">
        <f t="shared" ref="CS4:CS25" si="55">M4/B4</f>
        <v>44.094488188976378</v>
      </c>
      <c r="CT4" s="27">
        <f t="shared" si="3"/>
        <v>44.094488188976378</v>
      </c>
      <c r="CU4" s="27">
        <f>N4/B4</f>
        <v>42.519685039370081</v>
      </c>
      <c r="CV4" s="27">
        <f t="shared" si="4"/>
        <v>33.070866141732282</v>
      </c>
      <c r="CW4" s="27">
        <f>P4/B4</f>
        <v>40.944881889763778</v>
      </c>
      <c r="CX4" s="27">
        <f>Q4/B4</f>
        <v>25.196850393700785</v>
      </c>
      <c r="CY4" s="27">
        <f>R4/B4</f>
        <v>33.070866141732282</v>
      </c>
      <c r="CZ4" s="27">
        <f t="shared" si="5"/>
        <v>48.818897637795274</v>
      </c>
      <c r="DA4" s="27">
        <f t="shared" si="6"/>
        <v>23.622047244094489</v>
      </c>
      <c r="DB4" s="27">
        <f t="shared" si="7"/>
        <v>44.094488188976378</v>
      </c>
      <c r="DC4" s="27">
        <f t="shared" si="8"/>
        <v>37.795275590551178</v>
      </c>
      <c r="DD4" s="27">
        <f t="shared" si="9"/>
        <v>40.944881889763778</v>
      </c>
      <c r="DE4" s="27">
        <f t="shared" si="10"/>
        <v>53.54330708661417</v>
      </c>
      <c r="DF4" s="27">
        <f t="shared" si="11"/>
        <v>66.141732283464563</v>
      </c>
      <c r="DG4" s="27">
        <f t="shared" si="12"/>
        <v>58.267716535433067</v>
      </c>
      <c r="DH4" s="27">
        <f t="shared" ref="DH4:DH25" si="56">AA4/B4</f>
        <v>83.464566929133852</v>
      </c>
      <c r="DI4" s="27">
        <f t="shared" si="13"/>
        <v>56.69291338582677</v>
      </c>
      <c r="DJ4" s="27">
        <f t="shared" si="14"/>
        <v>69.29133858267717</v>
      </c>
      <c r="DK4" s="27">
        <f t="shared" si="15"/>
        <v>55.118110236220474</v>
      </c>
      <c r="DL4" s="27">
        <f t="shared" si="16"/>
        <v>48.818897637795274</v>
      </c>
      <c r="DM4" s="27">
        <f t="shared" si="17"/>
        <v>59.84251968503937</v>
      </c>
      <c r="DN4" s="27">
        <f t="shared" si="18"/>
        <v>51.968503937007874</v>
      </c>
      <c r="DO4" s="27">
        <f t="shared" si="19"/>
        <v>45.669291338582674</v>
      </c>
      <c r="DP4" s="27">
        <f t="shared" si="20"/>
        <v>53.54330708661417</v>
      </c>
      <c r="DQ4" s="27">
        <f t="shared" si="21"/>
        <v>91.338582677165348</v>
      </c>
      <c r="DR4" s="27">
        <f t="shared" si="22"/>
        <v>80.314960629921259</v>
      </c>
      <c r="DS4" s="27">
        <f t="shared" si="23"/>
        <v>70.866141732283467</v>
      </c>
      <c r="DT4" s="27">
        <f t="shared" si="24"/>
        <v>62.99212598425197</v>
      </c>
      <c r="DU4" s="27">
        <f>AN4/B4</f>
        <v>81.889763779527556</v>
      </c>
      <c r="DV4" s="27">
        <f>AO4/B4</f>
        <v>33.070866141732282</v>
      </c>
      <c r="DW4" s="27">
        <f t="shared" si="25"/>
        <v>37.795275590551178</v>
      </c>
      <c r="DX4" s="27">
        <f t="shared" ref="DX4:DX25" si="57">AQ4/B4</f>
        <v>42.519685039370081</v>
      </c>
      <c r="DY4" s="27">
        <f t="shared" si="26"/>
        <v>31.496062992125985</v>
      </c>
      <c r="DZ4" s="27">
        <f t="shared" si="27"/>
        <v>45.669291338582674</v>
      </c>
      <c r="EA4" s="27">
        <f t="shared" si="28"/>
        <v>64.566929133858267</v>
      </c>
      <c r="EB4" s="27">
        <f t="shared" si="29"/>
        <v>61.417322834645667</v>
      </c>
      <c r="EC4" s="27">
        <f t="shared" si="30"/>
        <v>75.590551181102356</v>
      </c>
      <c r="ED4" s="27">
        <f t="shared" si="31"/>
        <v>77.165354330708666</v>
      </c>
      <c r="EE4" s="27">
        <f t="shared" si="32"/>
        <v>36.220472440944881</v>
      </c>
      <c r="EF4" s="27">
        <f t="shared" si="33"/>
        <v>40.944881889763778</v>
      </c>
      <c r="EG4" s="27">
        <f t="shared" si="34"/>
        <v>42.519685039370081</v>
      </c>
      <c r="EH4" s="27">
        <f t="shared" si="35"/>
        <v>45.669291338582674</v>
      </c>
      <c r="EI4" s="27">
        <f t="shared" si="36"/>
        <v>51.968503937007874</v>
      </c>
      <c r="EJ4" s="27">
        <f t="shared" si="37"/>
        <v>6.2992125984251963</v>
      </c>
      <c r="EK4" s="27">
        <f>BD4/B4</f>
        <v>14.173228346456693</v>
      </c>
      <c r="EL4" s="27">
        <f t="shared" si="38"/>
        <v>20.472440944881889</v>
      </c>
      <c r="EM4" s="27">
        <f t="shared" si="39"/>
        <v>78.740157480314963</v>
      </c>
      <c r="EN4" s="27">
        <f t="shared" si="40"/>
        <v>67.71653543307086</v>
      </c>
      <c r="EO4" s="27">
        <f>BH4/B4</f>
        <v>53.54330708661417</v>
      </c>
      <c r="EP4" s="27">
        <f t="shared" si="41"/>
        <v>36.220472440944881</v>
      </c>
      <c r="EQ4" s="27">
        <f t="shared" ref="EQ4:EQ25" si="58">BJ4/B4</f>
        <v>31.496062992125985</v>
      </c>
      <c r="ER4" s="27">
        <f t="shared" ref="ER4:ER25" si="59">BK4/B4</f>
        <v>42.519685039370081</v>
      </c>
      <c r="ES4" s="27">
        <f t="shared" ref="ES4:ES25" si="60">BL4/B4</f>
        <v>72.440944881889763</v>
      </c>
      <c r="ET4" s="27">
        <f t="shared" ref="ET4:ET25" si="61">BM4/B4</f>
        <v>69.29133858267717</v>
      </c>
      <c r="EU4" s="27">
        <f t="shared" ref="EU4:EU25" si="62">BN4/B4</f>
        <v>59.84251968503937</v>
      </c>
      <c r="EV4" s="27">
        <f t="shared" ref="EV4:EV25" si="63">BO4/B4</f>
        <v>12.598425196850393</v>
      </c>
      <c r="EW4" s="27">
        <f t="shared" ref="EW4:EW25" si="64">BP4/B4</f>
        <v>14.173228346456693</v>
      </c>
      <c r="EX4" s="27">
        <f t="shared" ref="EX4:EX25" si="65">BQ4/B4</f>
        <v>36.220472440944881</v>
      </c>
      <c r="EY4" s="27">
        <f t="shared" ref="EY4:EY25" si="66">BR4/B4</f>
        <v>23.622047244094489</v>
      </c>
      <c r="EZ4" s="27">
        <f t="shared" ref="EZ4:EZ25" si="67">BS4/B4</f>
        <v>50.393700787401571</v>
      </c>
      <c r="FA4" s="27">
        <f t="shared" ref="FA4:FA25" si="68">BT4/B4</f>
        <v>69.29133858267717</v>
      </c>
      <c r="FB4" s="27">
        <f t="shared" ref="FB4:FB25" si="69">BU4/B4</f>
        <v>51.968503937007874</v>
      </c>
      <c r="FC4" s="31">
        <f>BV5/B5</f>
        <v>39.204464157962512</v>
      </c>
      <c r="FD4" s="31">
        <f>BW5/B5</f>
        <v>64.816139648018321</v>
      </c>
      <c r="FE4" s="31">
        <f>BX5/B5</f>
        <v>48.934039204464156</v>
      </c>
      <c r="FF4" s="31">
        <f>BY4/B4</f>
        <v>53.54330708661417</v>
      </c>
      <c r="FG4" s="31">
        <f t="shared" ref="FG4:FG24" si="70">BZ4/B4</f>
        <v>116.53543307086613</v>
      </c>
      <c r="FH4" s="31">
        <f t="shared" si="42"/>
        <v>18.897637795275589</v>
      </c>
      <c r="FI4" s="31">
        <f t="shared" ref="FI4:FI12" si="71">CB4/B4</f>
        <v>20.472440944881889</v>
      </c>
      <c r="FJ4" s="31">
        <f t="shared" si="43"/>
        <v>25.196850393700785</v>
      </c>
      <c r="FK4" s="31">
        <f t="shared" ref="FK4:FK12" si="72">CD4/B4</f>
        <v>40.944881889763778</v>
      </c>
      <c r="FL4" s="31">
        <f t="shared" si="44"/>
        <v>22.047244094488189</v>
      </c>
      <c r="FM4" s="31">
        <f t="shared" si="45"/>
        <v>22.047244094488189</v>
      </c>
      <c r="FN4" s="31">
        <f t="shared" si="46"/>
        <v>15.275590551181102</v>
      </c>
      <c r="FO4" s="31">
        <f t="shared" si="47"/>
        <v>6.2519685039370083</v>
      </c>
      <c r="FP4" s="31">
        <f t="shared" si="48"/>
        <v>17.165354330708663</v>
      </c>
      <c r="FQ4" s="31">
        <f t="shared" si="49"/>
        <v>59.212598425196852</v>
      </c>
      <c r="FR4" s="31">
        <f t="shared" si="50"/>
        <v>7.4015748031496065</v>
      </c>
      <c r="FS4" s="3">
        <v>0.56000000000000005</v>
      </c>
      <c r="FT4" s="29">
        <f t="shared" si="51"/>
        <v>0.88188976377952766</v>
      </c>
      <c r="FU4" s="34">
        <v>2.81</v>
      </c>
      <c r="FV4" s="34">
        <v>1.6</v>
      </c>
      <c r="FW4" s="34">
        <v>2.06</v>
      </c>
      <c r="FX4" s="34">
        <v>2.37</v>
      </c>
      <c r="FY4" s="34">
        <v>1.46</v>
      </c>
      <c r="FZ4" s="34">
        <v>1.1599999999999999</v>
      </c>
      <c r="GA4" s="34">
        <v>2.15</v>
      </c>
      <c r="GB4" s="34">
        <v>0.95</v>
      </c>
      <c r="GC4" s="34">
        <v>1.9</v>
      </c>
      <c r="GD4" s="34">
        <v>1.4</v>
      </c>
      <c r="GE4" s="34">
        <v>1.5</v>
      </c>
      <c r="GF4" s="3">
        <v>23</v>
      </c>
      <c r="GG4" s="3">
        <v>26</v>
      </c>
      <c r="GH4" s="23" t="s">
        <v>5</v>
      </c>
      <c r="GI4" s="23">
        <v>28</v>
      </c>
      <c r="GJ4" s="23">
        <v>4.5999999999999996</v>
      </c>
      <c r="GK4" s="23">
        <v>3.4</v>
      </c>
      <c r="GL4" s="36">
        <v>0.63500000000000001</v>
      </c>
      <c r="GM4" s="37">
        <f>FU4/GL4</f>
        <v>4.4251968503937009</v>
      </c>
      <c r="GN4" s="37">
        <f>FV4/GL4</f>
        <v>2.5196850393700787</v>
      </c>
      <c r="GO4" s="37">
        <f>FW4/GL4</f>
        <v>3.2440944881889764</v>
      </c>
      <c r="GP4" s="37">
        <f>FX4/GL4</f>
        <v>3.7322834645669292</v>
      </c>
      <c r="GQ4" s="37">
        <f>FY4/GL4</f>
        <v>2.2992125984251968</v>
      </c>
      <c r="GR4" s="37">
        <f>FZ4/GL4</f>
        <v>1.826771653543307</v>
      </c>
      <c r="GS4" s="37">
        <f>GA4/GL4</f>
        <v>3.3858267716535431</v>
      </c>
      <c r="GT4" s="37">
        <f>GB4/GL4</f>
        <v>1.4960629921259843</v>
      </c>
      <c r="GU4" s="37">
        <f>GC4/GL4</f>
        <v>2.9921259842519685</v>
      </c>
      <c r="GV4" s="37">
        <f>GD4/GL4</f>
        <v>2.2047244094488185</v>
      </c>
      <c r="GW4" s="37">
        <f>GE4/GL4</f>
        <v>2.3622047244094486</v>
      </c>
      <c r="GX4" s="37">
        <f t="shared" ref="GX4:GX9" si="73">GF4/GL4</f>
        <v>36.220472440944881</v>
      </c>
      <c r="GY4" s="37">
        <f t="shared" ref="GY4:GY9" si="74">GG4/GL4</f>
        <v>40.944881889763778</v>
      </c>
      <c r="GZ4" s="37">
        <f>GI4/GL4</f>
        <v>44.094488188976378</v>
      </c>
      <c r="HA4" s="50">
        <f>GI4/B4</f>
        <v>44.094488188976378</v>
      </c>
      <c r="HB4" s="50">
        <f>GJ4/GL4</f>
        <v>7.2440944881889759</v>
      </c>
      <c r="HC4" s="50">
        <f>GK4/GL4</f>
        <v>5.3543307086614167</v>
      </c>
      <c r="HD4" s="23" t="s">
        <v>5</v>
      </c>
      <c r="HE4" s="36">
        <v>0.63500000000000001</v>
      </c>
      <c r="HG4" s="3">
        <f t="shared" ref="HG4:HG25" si="75">F4/B4</f>
        <v>15.748031496062993</v>
      </c>
      <c r="HH4" s="3">
        <f t="shared" ref="HH4:HH25" si="76">F4/B4</f>
        <v>15.748031496062993</v>
      </c>
      <c r="HI4" s="3">
        <f t="shared" ref="HI4:HQ25" si="77">G4/B4</f>
        <v>23.622047244094489</v>
      </c>
      <c r="HJ4" s="3">
        <f t="shared" si="52"/>
        <v>0.45161290322580644</v>
      </c>
      <c r="HK4" s="3">
        <f t="shared" si="52"/>
        <v>0.47112903225806452</v>
      </c>
      <c r="HL4" s="3">
        <f t="shared" si="52"/>
        <v>3.0833333333333335</v>
      </c>
      <c r="HM4" s="3">
        <f t="shared" si="52"/>
        <v>2.9</v>
      </c>
      <c r="HN4" s="3">
        <f t="shared" si="52"/>
        <v>1.6666666666666667</v>
      </c>
      <c r="HO4" s="3">
        <f t="shared" si="52"/>
        <v>2</v>
      </c>
      <c r="HP4" s="3">
        <f t="shared" si="52"/>
        <v>1.173913043478261</v>
      </c>
      <c r="HQ4" s="3">
        <f t="shared" si="52"/>
        <v>0.56756756756756754</v>
      </c>
      <c r="HR4" s="3">
        <f t="shared" ref="HR4:HR25" si="78">P4/K4</f>
        <v>0.89655172413793105</v>
      </c>
      <c r="HS4" s="3">
        <f t="shared" ref="HS4:HS25" si="79">Q4/L4</f>
        <v>0.64</v>
      </c>
      <c r="HT4" s="3">
        <f t="shared" ref="HT4:HT25" si="80">R4/M4</f>
        <v>0.75</v>
      </c>
      <c r="HU4" s="3">
        <f t="shared" ref="HU4:HU25" si="81">S4/N4</f>
        <v>1.1481481481481481</v>
      </c>
      <c r="HV4" s="36">
        <v>0.63500000000000001</v>
      </c>
      <c r="HW4" s="56"/>
      <c r="HX4" s="23" t="s">
        <v>5</v>
      </c>
      <c r="HZ4" s="63">
        <v>1.0175503446779952</v>
      </c>
      <c r="IA4" s="63">
        <v>8.6520364662047111</v>
      </c>
      <c r="IB4" s="63">
        <v>9.9263160617576673</v>
      </c>
      <c r="IC4" s="63">
        <v>6.757862950445511</v>
      </c>
      <c r="ID4" s="63">
        <v>0.48452614387556847</v>
      </c>
      <c r="IE4" s="63">
        <v>0.23996217384588031</v>
      </c>
      <c r="IF4" s="63">
        <v>5.8685027425278138</v>
      </c>
      <c r="IG4" s="63">
        <v>0.22676284115299369</v>
      </c>
      <c r="IH4" s="63">
        <v>5.1295822038348504</v>
      </c>
      <c r="II4" s="63">
        <v>0.25550920927903265</v>
      </c>
      <c r="IJ4" s="63">
        <v>3.7791900208789979</v>
      </c>
      <c r="IK4" s="63">
        <v>3.9087595165264308</v>
      </c>
      <c r="IL4" s="63">
        <v>0.67663104464886958</v>
      </c>
      <c r="IM4" s="63">
        <v>1.5095664674557572</v>
      </c>
      <c r="IN4" s="63">
        <v>0.5398973460695059</v>
      </c>
      <c r="IO4" s="63">
        <v>4.2925271660322775</v>
      </c>
      <c r="IP4" s="63">
        <v>5.4456356752835573</v>
      </c>
      <c r="IQ4" s="63">
        <v>6.270374593365605</v>
      </c>
      <c r="IR4" s="63">
        <v>0.60829124770142384</v>
      </c>
      <c r="IS4" s="63">
        <v>6.3952498450890181</v>
      </c>
      <c r="IT4" s="63">
        <v>5.3599748751686356</v>
      </c>
      <c r="IU4" s="63">
        <v>0.2609718576860553</v>
      </c>
      <c r="IW4" s="67">
        <v>1.0983633487242166</v>
      </c>
      <c r="IX4" s="67">
        <v>0.55332259143319196</v>
      </c>
      <c r="IY4" s="67">
        <v>1.2302314948924287</v>
      </c>
      <c r="JA4" s="63">
        <v>1.3180639860589372</v>
      </c>
      <c r="JB4" s="63">
        <v>2.6243024462763302</v>
      </c>
      <c r="JC4" s="63">
        <v>3.8378338210342213</v>
      </c>
      <c r="JD4" s="63">
        <v>4.9460248735741716</v>
      </c>
      <c r="JE4" s="63">
        <v>2.9403352962419169</v>
      </c>
      <c r="JF4" s="63">
        <v>2.7660033257840455</v>
      </c>
      <c r="JG4" s="63">
        <v>3.2764298114104724</v>
      </c>
      <c r="JH4" s="63">
        <v>6.6425141467698632</v>
      </c>
      <c r="JI4" s="63">
        <v>3.3681397091613383</v>
      </c>
      <c r="JJ4" s="63">
        <v>4.4760100096322599</v>
      </c>
      <c r="JK4" s="63">
        <v>4.8955480433214538</v>
      </c>
      <c r="JL4" s="63">
        <v>4.9269489913303097</v>
      </c>
      <c r="JM4" s="63">
        <v>5.7862542406063948</v>
      </c>
      <c r="JN4" s="63">
        <v>8.4490854062758505</v>
      </c>
      <c r="JO4" s="68">
        <v>7.3222592143315097</v>
      </c>
      <c r="JP4" s="68">
        <v>9.9280330650862272</v>
      </c>
      <c r="JQ4" s="68">
        <v>7.8744896696909823</v>
      </c>
      <c r="JS4" s="69"/>
      <c r="JT4" s="69"/>
      <c r="JV4" s="73">
        <f t="shared" ref="JV4:JV25" si="82">HZ4/B4</f>
        <v>1.6024414876818822</v>
      </c>
      <c r="JW4" s="73">
        <f t="shared" ref="JW4:JW25" si="83">IA4/HV4</f>
        <v>13.625254277487734</v>
      </c>
      <c r="JX4" s="73">
        <f t="shared" ref="JX4:JX25" si="84">IB4/HV4</f>
        <v>15.63199379804357</v>
      </c>
      <c r="JY4" s="73">
        <f t="shared" ref="JY4:JY25" si="85">IC4/HV4</f>
        <v>10.642303858969308</v>
      </c>
      <c r="JZ4" s="73">
        <f t="shared" ref="JZ4:JZ25" si="86">ID4/HV4</f>
        <v>0.76303329744184012</v>
      </c>
      <c r="KA4" s="73">
        <f t="shared" ref="KA4:KA25" si="87">IE4/HV4</f>
        <v>0.37789318715886661</v>
      </c>
      <c r="KB4" s="73">
        <f t="shared" ref="KB4:KB25" si="88">IF4/HV4</f>
        <v>9.2417366024060055</v>
      </c>
      <c r="KC4" s="73">
        <f t="shared" ref="KC4:KC25" si="89">IG4/HV4</f>
        <v>0.3571068364614074</v>
      </c>
      <c r="KD4" s="73">
        <f t="shared" ref="KD4:KD25" si="90">IH4/HV4</f>
        <v>8.0780822107635437</v>
      </c>
      <c r="KE4" s="73">
        <f t="shared" ref="KE4:KE25" si="91">II4/HV4</f>
        <v>0.40237670752603566</v>
      </c>
      <c r="KF4" s="73">
        <f t="shared" ref="KF4:KF25" si="92">IJ4/HV4</f>
        <v>5.9514803478409419</v>
      </c>
      <c r="KG4" s="73">
        <f t="shared" ref="KG4:KG25" si="93">IK4/HV4</f>
        <v>6.1555267976794186</v>
      </c>
      <c r="KH4" s="73">
        <f t="shared" ref="KH4:KH25" si="94">IL4/HV4</f>
        <v>1.0655607002344403</v>
      </c>
      <c r="KI4" s="73">
        <f t="shared" ref="KI4:KI25" si="95">IM4/HV4</f>
        <v>2.3772700274893812</v>
      </c>
      <c r="KJ4" s="73">
        <f t="shared" ref="KJ4:KJ25" si="96">IN4/HV4</f>
        <v>0.85023204105434003</v>
      </c>
      <c r="KK4" s="73">
        <f t="shared" ref="KK4:KK25" si="97">IO4/HV4</f>
        <v>6.7598853008382322</v>
      </c>
      <c r="KL4" s="73">
        <f t="shared" ref="KL4:KL25" si="98">IP4/HV4</f>
        <v>8.5758042130449716</v>
      </c>
      <c r="KM4" s="73">
        <f t="shared" ref="KM4:KM25" si="99">IQ4/HV4</f>
        <v>9.874605658843473</v>
      </c>
      <c r="KN4" s="73">
        <f t="shared" ref="KN4:KN25" si="100">IR4/HV4</f>
        <v>0.95793897275814777</v>
      </c>
      <c r="KO4" s="73">
        <f t="shared" ref="KO4:KO25" si="101">IS4/HV4</f>
        <v>10.071259598565383</v>
      </c>
      <c r="KP4" s="73">
        <f t="shared" ref="KP4:KP25" si="102">IT4/HV4</f>
        <v>8.4409053152261979</v>
      </c>
      <c r="KQ4" s="73">
        <f t="shared" ref="KQ4:KQ25" si="103">IU4/HV4</f>
        <v>0.41097930344260675</v>
      </c>
      <c r="KS4" s="66">
        <f t="shared" ref="KS4:KS25" si="104">IW4/HV4</f>
        <v>1.7297060609830182</v>
      </c>
      <c r="KT4" s="66">
        <f t="shared" ref="KT4:KT25" si="105">IX4/HV4</f>
        <v>0.87137415973731014</v>
      </c>
      <c r="KU4" s="66">
        <f t="shared" ref="KU4:KU25" si="106">IY4/HV4</f>
        <v>1.9373724329014625</v>
      </c>
      <c r="KW4" s="32">
        <f t="shared" ref="KW4:KW25" si="107">JA4/HV4</f>
        <v>2.0756913166282476</v>
      </c>
      <c r="KX4" s="32">
        <f t="shared" ref="KX4:KX25" si="108">JB4/HV4</f>
        <v>4.1327597579154807</v>
      </c>
      <c r="KY4" s="32">
        <f t="shared" ref="KY4:KY25" si="109">JC4/HV4</f>
        <v>6.0438327890302697</v>
      </c>
      <c r="KZ4" s="32">
        <f t="shared" ref="KZ4:KZ25" si="110">JD4/HV4</f>
        <v>7.7890155489357031</v>
      </c>
      <c r="LA4" s="32">
        <f t="shared" ref="LA4:LA25" si="111">JE4/HV4</f>
        <v>4.6304492854203412</v>
      </c>
      <c r="LB4" s="32">
        <f t="shared" ref="LB4:LB25" si="112">JF4/HV4</f>
        <v>4.3559107492662132</v>
      </c>
      <c r="LC4" s="32">
        <f t="shared" ref="LC4:LC25" si="113">JG4/HV4</f>
        <v>5.1597319864731848</v>
      </c>
      <c r="LD4" s="32">
        <f t="shared" ref="LD4:LD25" si="114">JH4/HV4</f>
        <v>10.460652199637579</v>
      </c>
      <c r="LE4" s="32">
        <f t="shared" ref="LE4:LE25" si="115">JI4/HV4</f>
        <v>5.3041570223013199</v>
      </c>
      <c r="LF4" s="32">
        <f t="shared" ref="LF4:LF25" si="116">JJ4/HV4</f>
        <v>7.0488346608382049</v>
      </c>
      <c r="LG4" s="32">
        <f t="shared" ref="LG4:LG25" si="117">JK4/HV4</f>
        <v>7.7095244776715806</v>
      </c>
      <c r="LH4" s="32">
        <f t="shared" ref="LH4:LH25" si="118">JL4/HV4</f>
        <v>7.7589747894965511</v>
      </c>
      <c r="LI4" s="32">
        <f t="shared" ref="LI4:LI25" si="119">JM4/HV4</f>
        <v>9.1122114025297556</v>
      </c>
      <c r="LJ4" s="32">
        <f t="shared" ref="LJ4:LJ25" si="120">JN4/HV4</f>
        <v>13.305646309095827</v>
      </c>
      <c r="LK4" s="32">
        <f t="shared" ref="LK4:LK25" si="121">JO4/HV4</f>
        <v>11.531116872963008</v>
      </c>
      <c r="LL4" s="32">
        <f t="shared" ref="LL4:LL25" si="122">JP4/HV4</f>
        <v>15.634697740293271</v>
      </c>
      <c r="LM4" s="32">
        <f t="shared" ref="LM4:LM25" si="123">JQ4/HV4</f>
        <v>12.400771133371626</v>
      </c>
    </row>
    <row r="5" spans="1:325" s="7" customFormat="1" x14ac:dyDescent="0.3">
      <c r="A5" s="15" t="s">
        <v>11</v>
      </c>
      <c r="B5" s="59">
        <v>6.9889999999999999</v>
      </c>
      <c r="C5" s="7">
        <v>350</v>
      </c>
      <c r="D5" s="57">
        <f t="shared" si="0"/>
        <v>50.07869509228788</v>
      </c>
      <c r="E5">
        <v>201</v>
      </c>
      <c r="F5">
        <v>143</v>
      </c>
      <c r="G5">
        <v>335</v>
      </c>
      <c r="H5">
        <v>208</v>
      </c>
      <c r="I5">
        <v>315</v>
      </c>
      <c r="J5">
        <v>407</v>
      </c>
      <c r="K5">
        <v>428</v>
      </c>
      <c r="L5">
        <v>356</v>
      </c>
      <c r="M5">
        <v>428</v>
      </c>
      <c r="N5">
        <v>398</v>
      </c>
      <c r="O5">
        <v>259</v>
      </c>
      <c r="P5">
        <v>304</v>
      </c>
      <c r="Q5">
        <v>212</v>
      </c>
      <c r="R5">
        <v>275</v>
      </c>
      <c r="S5">
        <v>606</v>
      </c>
      <c r="T5">
        <v>500</v>
      </c>
      <c r="U5">
        <v>451</v>
      </c>
      <c r="V5">
        <v>344</v>
      </c>
      <c r="W5">
        <v>522</v>
      </c>
      <c r="X5">
        <v>503</v>
      </c>
      <c r="Y5">
        <v>609</v>
      </c>
      <c r="Z5">
        <v>530</v>
      </c>
      <c r="AA5">
        <v>679</v>
      </c>
      <c r="AB5">
        <v>613</v>
      </c>
      <c r="AC5">
        <v>560</v>
      </c>
      <c r="AD5">
        <v>487</v>
      </c>
      <c r="AE5">
        <v>519</v>
      </c>
      <c r="AF5">
        <v>532</v>
      </c>
      <c r="AG5">
        <v>500</v>
      </c>
      <c r="AH5">
        <v>557</v>
      </c>
      <c r="AI5">
        <v>482</v>
      </c>
      <c r="AJ5">
        <v>846</v>
      </c>
      <c r="AK5">
        <v>701</v>
      </c>
      <c r="AL5">
        <v>582</v>
      </c>
      <c r="AM5">
        <v>591</v>
      </c>
      <c r="AN5">
        <v>986</v>
      </c>
      <c r="AO5">
        <v>546</v>
      </c>
      <c r="AP5">
        <v>395</v>
      </c>
      <c r="AQ5">
        <v>432</v>
      </c>
      <c r="AR5">
        <v>406</v>
      </c>
      <c r="AS5">
        <v>508</v>
      </c>
      <c r="AT5">
        <v>581</v>
      </c>
      <c r="AU5">
        <v>519</v>
      </c>
      <c r="AV5">
        <v>617</v>
      </c>
      <c r="AW5">
        <v>601</v>
      </c>
      <c r="AX5">
        <v>385</v>
      </c>
      <c r="AY5">
        <v>414</v>
      </c>
      <c r="AZ5">
        <v>412</v>
      </c>
      <c r="BA5">
        <v>518</v>
      </c>
      <c r="BB5">
        <v>620</v>
      </c>
      <c r="BC5">
        <v>202</v>
      </c>
      <c r="BD5">
        <v>327</v>
      </c>
      <c r="BE5">
        <v>290</v>
      </c>
      <c r="BF5">
        <v>1126</v>
      </c>
      <c r="BG5">
        <v>906</v>
      </c>
      <c r="BH5">
        <v>538</v>
      </c>
      <c r="BI5">
        <v>505</v>
      </c>
      <c r="BJ5">
        <v>458</v>
      </c>
      <c r="BK5">
        <v>493</v>
      </c>
      <c r="BL5">
        <v>3340</v>
      </c>
      <c r="BM5">
        <v>2971</v>
      </c>
      <c r="BN5">
        <v>845</v>
      </c>
      <c r="BO5">
        <v>147</v>
      </c>
      <c r="BP5">
        <v>318</v>
      </c>
      <c r="BQ5">
        <v>377</v>
      </c>
      <c r="BR5">
        <v>179</v>
      </c>
      <c r="BS5">
        <v>456</v>
      </c>
      <c r="BT5">
        <v>386</v>
      </c>
      <c r="BU5">
        <v>525</v>
      </c>
      <c r="BV5">
        <v>274</v>
      </c>
      <c r="BW5">
        <v>453</v>
      </c>
      <c r="BX5">
        <v>342</v>
      </c>
      <c r="BY5">
        <v>878</v>
      </c>
      <c r="BZ5">
        <v>806</v>
      </c>
      <c r="CA5">
        <v>410</v>
      </c>
      <c r="CB5">
        <v>264</v>
      </c>
      <c r="CC5">
        <v>416</v>
      </c>
      <c r="CD5">
        <v>797</v>
      </c>
      <c r="CE5">
        <v>153</v>
      </c>
      <c r="CF5">
        <v>398</v>
      </c>
      <c r="CG5">
        <v>181</v>
      </c>
      <c r="CH5">
        <v>329</v>
      </c>
      <c r="CI5" s="7">
        <v>566</v>
      </c>
      <c r="CJ5" s="7">
        <v>672</v>
      </c>
      <c r="CK5" s="7">
        <v>122</v>
      </c>
      <c r="CL5" s="27">
        <f>E5/B5</f>
        <v>28.759479181571042</v>
      </c>
      <c r="CM5" s="27">
        <f t="shared" si="1"/>
        <v>20.460723994849047</v>
      </c>
      <c r="CN5" s="27">
        <f>G5/B5</f>
        <v>47.932465302618404</v>
      </c>
      <c r="CO5" s="27">
        <f>H5/B5</f>
        <v>29.761053083416797</v>
      </c>
      <c r="CP5" s="27">
        <f>I5/B5</f>
        <v>45.070825583059097</v>
      </c>
      <c r="CQ5" s="27">
        <f>J5/B5</f>
        <v>58.234368293031906</v>
      </c>
      <c r="CR5" s="27">
        <f t="shared" si="2"/>
        <v>61.239089998569185</v>
      </c>
      <c r="CS5" s="27">
        <f t="shared" si="55"/>
        <v>61.239089998569185</v>
      </c>
      <c r="CT5" s="27">
        <f t="shared" si="3"/>
        <v>61.239089998569185</v>
      </c>
      <c r="CU5" s="27">
        <f>N5/B5</f>
        <v>56.946630419230218</v>
      </c>
      <c r="CV5" s="27">
        <f t="shared" si="4"/>
        <v>37.058234368293036</v>
      </c>
      <c r="CW5" s="27">
        <f>P5/B5</f>
        <v>43.496923737301472</v>
      </c>
      <c r="CX5" s="27">
        <f>Q5/B5</f>
        <v>30.333381027328659</v>
      </c>
      <c r="CY5" s="27">
        <f>R5/B5</f>
        <v>39.347546143940477</v>
      </c>
      <c r="CZ5" s="27">
        <f t="shared" si="5"/>
        <v>86.707683502647015</v>
      </c>
      <c r="DA5" s="27">
        <f t="shared" si="6"/>
        <v>71.540992988982694</v>
      </c>
      <c r="DB5" s="27">
        <f t="shared" si="7"/>
        <v>64.529975676062378</v>
      </c>
      <c r="DC5" s="27">
        <f t="shared" si="8"/>
        <v>49.220203176420092</v>
      </c>
      <c r="DD5" s="27">
        <f t="shared" si="9"/>
        <v>74.68879668049793</v>
      </c>
      <c r="DE5" s="27">
        <f t="shared" si="10"/>
        <v>71.970238946916581</v>
      </c>
      <c r="DF5" s="27">
        <f t="shared" si="11"/>
        <v>87.136929460580916</v>
      </c>
      <c r="DG5" s="27">
        <f t="shared" si="12"/>
        <v>75.833452568321647</v>
      </c>
      <c r="DH5" s="27">
        <f t="shared" si="56"/>
        <v>97.152668479038496</v>
      </c>
      <c r="DI5" s="27">
        <f t="shared" si="13"/>
        <v>87.709257404492774</v>
      </c>
      <c r="DJ5" s="27">
        <f t="shared" si="14"/>
        <v>80.125912147660614</v>
      </c>
      <c r="DK5" s="27">
        <f t="shared" si="15"/>
        <v>69.680927171269133</v>
      </c>
      <c r="DL5" s="27">
        <f t="shared" si="16"/>
        <v>74.259550722564029</v>
      </c>
      <c r="DM5" s="27">
        <f t="shared" si="17"/>
        <v>76.119616540277576</v>
      </c>
      <c r="DN5" s="27">
        <f t="shared" si="18"/>
        <v>71.540992988982694</v>
      </c>
      <c r="DO5" s="27">
        <f t="shared" si="19"/>
        <v>79.696666189726713</v>
      </c>
      <c r="DP5" s="27">
        <f t="shared" si="20"/>
        <v>68.965517241379317</v>
      </c>
      <c r="DQ5" s="27">
        <f t="shared" si="21"/>
        <v>121.04736013735871</v>
      </c>
      <c r="DR5" s="27">
        <f t="shared" si="22"/>
        <v>100.30047217055373</v>
      </c>
      <c r="DS5" s="27">
        <f t="shared" si="23"/>
        <v>83.27371583917585</v>
      </c>
      <c r="DT5" s="27">
        <f t="shared" si="24"/>
        <v>84.561453712977539</v>
      </c>
      <c r="DU5" s="27">
        <f>AN5/B5</f>
        <v>141.07883817427387</v>
      </c>
      <c r="DV5" s="27"/>
      <c r="DW5" s="27">
        <f t="shared" si="25"/>
        <v>56.517384461296324</v>
      </c>
      <c r="DX5" s="27">
        <f t="shared" si="57"/>
        <v>61.811417942481043</v>
      </c>
      <c r="DY5" s="27">
        <f t="shared" si="26"/>
        <v>58.091286307053942</v>
      </c>
      <c r="DZ5" s="27">
        <f t="shared" si="27"/>
        <v>72.685648876806411</v>
      </c>
      <c r="EA5" s="27">
        <f t="shared" si="28"/>
        <v>83.130633853197878</v>
      </c>
      <c r="EB5" s="27">
        <f t="shared" si="29"/>
        <v>74.259550722564029</v>
      </c>
      <c r="EC5" s="27">
        <f t="shared" si="30"/>
        <v>88.281585348404633</v>
      </c>
      <c r="ED5" s="27">
        <f t="shared" si="31"/>
        <v>85.992273572757185</v>
      </c>
      <c r="EE5" s="27">
        <f t="shared" si="32"/>
        <v>55.08656460151667</v>
      </c>
      <c r="EF5" s="27">
        <f t="shared" si="33"/>
        <v>59.235942194877666</v>
      </c>
      <c r="EG5" s="27">
        <f t="shared" si="34"/>
        <v>58.949778222921736</v>
      </c>
      <c r="EH5" s="27">
        <f t="shared" si="35"/>
        <v>74.116468736586071</v>
      </c>
      <c r="EI5" s="27">
        <f t="shared" si="36"/>
        <v>88.710831306338534</v>
      </c>
      <c r="EJ5" s="27">
        <f t="shared" si="37"/>
        <v>28.902561167549006</v>
      </c>
      <c r="EK5" s="27">
        <f>BD5/B5</f>
        <v>46.78780941479468</v>
      </c>
      <c r="EL5" s="27">
        <f t="shared" si="38"/>
        <v>41.49377593360996</v>
      </c>
      <c r="EM5" s="27">
        <f t="shared" si="39"/>
        <v>161.110316211189</v>
      </c>
      <c r="EN5" s="27">
        <f t="shared" si="40"/>
        <v>129.63227929603664</v>
      </c>
      <c r="EO5" s="27">
        <f>BH5/B5</f>
        <v>76.978108456145378</v>
      </c>
      <c r="EP5" s="27">
        <f t="shared" si="41"/>
        <v>72.25640291887251</v>
      </c>
      <c r="EQ5" s="27">
        <f t="shared" si="58"/>
        <v>65.531549577908137</v>
      </c>
      <c r="ER5" s="27">
        <f t="shared" si="59"/>
        <v>70.539419087136935</v>
      </c>
      <c r="ES5" s="27">
        <f t="shared" si="60"/>
        <v>477.89383316640436</v>
      </c>
      <c r="ET5" s="27">
        <f t="shared" si="61"/>
        <v>425.09658034053513</v>
      </c>
      <c r="EU5" s="27">
        <f t="shared" si="62"/>
        <v>120.90427815138074</v>
      </c>
      <c r="EV5" s="27">
        <f t="shared" si="63"/>
        <v>21.033051938760909</v>
      </c>
      <c r="EW5" s="27">
        <f t="shared" si="64"/>
        <v>45.500071540992991</v>
      </c>
      <c r="EX5" s="27">
        <f t="shared" si="65"/>
        <v>53.941908713692946</v>
      </c>
      <c r="EY5" s="27">
        <f t="shared" si="66"/>
        <v>25.611675490055802</v>
      </c>
      <c r="EZ5" s="27">
        <f t="shared" si="67"/>
        <v>65.245385605952208</v>
      </c>
      <c r="FA5" s="27">
        <f t="shared" si="68"/>
        <v>55.229646587494635</v>
      </c>
      <c r="FB5" s="27">
        <f t="shared" si="69"/>
        <v>75.118042638431817</v>
      </c>
      <c r="FC5" s="31">
        <f>BV6/B6</f>
        <v>35.294117647058819</v>
      </c>
      <c r="FD5" s="31">
        <f>BW6/B6</f>
        <v>36.470588235294116</v>
      </c>
      <c r="FE5" s="31">
        <f>BX6/B6</f>
        <v>50.588235294117638</v>
      </c>
      <c r="FF5" s="31">
        <f>BY5/B5</f>
        <v>125.6259836886536</v>
      </c>
      <c r="FG5" s="31">
        <f t="shared" si="70"/>
        <v>115.3240806982401</v>
      </c>
      <c r="FH5" s="31">
        <f t="shared" si="42"/>
        <v>58.663614250965807</v>
      </c>
      <c r="FI5" s="31">
        <f t="shared" si="71"/>
        <v>37.773644298182859</v>
      </c>
      <c r="FJ5" s="31">
        <f t="shared" si="43"/>
        <v>59.522106166833595</v>
      </c>
      <c r="FK5" s="31">
        <f t="shared" si="72"/>
        <v>114.03634282443841</v>
      </c>
      <c r="FL5" s="31">
        <f t="shared" si="44"/>
        <v>21.891543854628704</v>
      </c>
      <c r="FM5" s="31">
        <f t="shared" si="45"/>
        <v>56.946630419230218</v>
      </c>
      <c r="FN5" s="31">
        <f t="shared" si="46"/>
        <v>25.897839462011735</v>
      </c>
      <c r="FO5" s="31">
        <f t="shared" si="47"/>
        <v>47.073973386750609</v>
      </c>
      <c r="FP5" s="31">
        <f t="shared" si="48"/>
        <v>80.984404063528402</v>
      </c>
      <c r="FQ5" s="31">
        <f t="shared" si="49"/>
        <v>96.151094577192737</v>
      </c>
      <c r="FR5" s="31">
        <f t="shared" si="50"/>
        <v>17.456002289311776</v>
      </c>
      <c r="FS5" s="28">
        <v>6.3</v>
      </c>
      <c r="FT5" s="29">
        <f t="shared" si="51"/>
        <v>0.90141651166118186</v>
      </c>
      <c r="FU5" s="34">
        <v>8.0399999999999991</v>
      </c>
      <c r="FV5" s="34">
        <v>3.58</v>
      </c>
      <c r="FW5" s="34">
        <v>7.69</v>
      </c>
      <c r="FX5" s="34">
        <v>8.0500000000000007</v>
      </c>
      <c r="FY5" s="34">
        <v>1.32</v>
      </c>
      <c r="FZ5" s="34">
        <v>6.77</v>
      </c>
      <c r="GA5" s="34">
        <v>8.15</v>
      </c>
      <c r="GB5" s="34">
        <v>10.83</v>
      </c>
      <c r="GC5" s="34">
        <v>12.4</v>
      </c>
      <c r="GD5" s="34">
        <v>9.4</v>
      </c>
      <c r="GE5" s="34">
        <v>12.2</v>
      </c>
      <c r="GF5" s="7">
        <v>324</v>
      </c>
      <c r="GG5" s="7">
        <v>360</v>
      </c>
      <c r="GH5" s="15" t="s">
        <v>11</v>
      </c>
      <c r="GI5" s="15">
        <v>440</v>
      </c>
      <c r="GJ5" s="15">
        <v>23</v>
      </c>
      <c r="GK5" s="15">
        <v>19</v>
      </c>
      <c r="GL5" s="36">
        <v>6.9889999999999999</v>
      </c>
      <c r="GM5" s="37">
        <f>FU5/GL5</f>
        <v>1.1503791672628414</v>
      </c>
      <c r="GN5" s="37">
        <f t="shared" ref="GN5:GN25" si="124">FV5/GL5</f>
        <v>0.51223350980111604</v>
      </c>
      <c r="GO5" s="37">
        <f t="shared" ref="GO5:GO25" si="125">FW5/GL5</f>
        <v>1.1003004721705538</v>
      </c>
      <c r="GP5" s="37">
        <f t="shared" ref="GP5:GP25" si="126">FX5/GL5</f>
        <v>1.1518099871226213</v>
      </c>
      <c r="GQ5" s="37">
        <f t="shared" ref="GQ5:GQ25" si="127">FY5/GL5</f>
        <v>0.18886822149091431</v>
      </c>
      <c r="GR5" s="37">
        <f t="shared" ref="GR5:GR25" si="128">FZ5/GL5</f>
        <v>0.96866504507082551</v>
      </c>
      <c r="GS5" s="37">
        <f t="shared" ref="GS5:GS25" si="129">GA5/GL5</f>
        <v>1.1661181857204179</v>
      </c>
      <c r="GT5" s="37">
        <f t="shared" ref="GT5:GT25" si="130">GB5/GL5</f>
        <v>1.549577908141365</v>
      </c>
      <c r="GU5" s="37">
        <f t="shared" ref="GU5:GU25" si="131">GC5/GL5</f>
        <v>1.7742166261267707</v>
      </c>
      <c r="GV5" s="37">
        <f t="shared" ref="GV5:GV25" si="132">GD5/GL5</f>
        <v>1.3449706681928746</v>
      </c>
      <c r="GW5" s="37">
        <f t="shared" ref="GW5:GW25" si="133">GE5/GL5</f>
        <v>1.7456002289311774</v>
      </c>
      <c r="GX5" s="37">
        <f t="shared" si="73"/>
        <v>46.358563456860779</v>
      </c>
      <c r="GY5" s="37">
        <f t="shared" si="74"/>
        <v>51.509514952067533</v>
      </c>
      <c r="GZ5" s="37">
        <f t="shared" ref="GZ5:GZ25" si="134">GI5/GL5</f>
        <v>62.956073830304767</v>
      </c>
      <c r="HA5" s="50">
        <f>GI5/B5</f>
        <v>62.956073830304767</v>
      </c>
      <c r="HB5" s="50">
        <f t="shared" ref="HB5:HB25" si="135">GJ5/GL5</f>
        <v>3.2908856774932036</v>
      </c>
      <c r="HC5" s="50">
        <f t="shared" ref="HC5:HC25" si="136">GK5/GL5</f>
        <v>2.718557733581342</v>
      </c>
      <c r="HD5" s="15" t="s">
        <v>11</v>
      </c>
      <c r="HE5" s="36">
        <v>6.9889999999999999</v>
      </c>
      <c r="HG5" s="3">
        <f t="shared" si="75"/>
        <v>20.460723994849047</v>
      </c>
      <c r="HH5" s="3">
        <f t="shared" si="76"/>
        <v>20.460723994849047</v>
      </c>
      <c r="HI5" s="3">
        <f t="shared" si="77"/>
        <v>47.932465302618404</v>
      </c>
      <c r="HJ5" s="3">
        <f t="shared" si="52"/>
        <v>0.59428571428571431</v>
      </c>
      <c r="HK5" s="3">
        <f t="shared" si="52"/>
        <v>6.2900999999999998</v>
      </c>
      <c r="HL5" s="3">
        <f t="shared" si="52"/>
        <v>2.0248756218905473</v>
      </c>
      <c r="HM5" s="3">
        <f t="shared" si="52"/>
        <v>2.9930069930069929</v>
      </c>
      <c r="HN5" s="3">
        <f t="shared" si="52"/>
        <v>1.0626865671641792</v>
      </c>
      <c r="HO5" s="3">
        <f t="shared" si="52"/>
        <v>2.0576923076923075</v>
      </c>
      <c r="HP5" s="3">
        <f t="shared" si="52"/>
        <v>1.2634920634920634</v>
      </c>
      <c r="HQ5" s="3">
        <f t="shared" si="52"/>
        <v>0.63636363636363635</v>
      </c>
      <c r="HR5" s="3">
        <f t="shared" si="78"/>
        <v>0.71028037383177567</v>
      </c>
      <c r="HS5" s="3">
        <f t="shared" si="79"/>
        <v>0.5955056179775281</v>
      </c>
      <c r="HT5" s="3">
        <f t="shared" si="80"/>
        <v>0.64252336448598135</v>
      </c>
      <c r="HU5" s="3">
        <f t="shared" si="81"/>
        <v>1.5226130653266332</v>
      </c>
      <c r="HV5" s="36">
        <v>6.9889999999999999</v>
      </c>
      <c r="HW5" s="56"/>
      <c r="HX5" s="15" t="s">
        <v>11</v>
      </c>
      <c r="HZ5" s="63">
        <v>289.2489064173854</v>
      </c>
      <c r="IA5" s="63">
        <v>130.84810629108532</v>
      </c>
      <c r="IB5" s="63">
        <v>69.235156007144198</v>
      </c>
      <c r="IC5" s="63">
        <v>98.440752478956256</v>
      </c>
      <c r="ID5" s="63">
        <v>50.874768305911353</v>
      </c>
      <c r="IE5" s="63">
        <v>13.134787226496217</v>
      </c>
      <c r="IF5" s="63">
        <v>38.855346110848629</v>
      </c>
      <c r="IG5" s="63">
        <v>1.6798375360983642</v>
      </c>
      <c r="IH5" s="63">
        <v>76.978926768539125</v>
      </c>
      <c r="II5" s="63">
        <v>3.548376146109447</v>
      </c>
      <c r="IJ5" s="63">
        <v>26.497999880375023</v>
      </c>
      <c r="IK5" s="63">
        <v>87.096710457642033</v>
      </c>
      <c r="IL5" s="63">
        <v>9.2661439921935109</v>
      </c>
      <c r="IM5" s="63">
        <v>103.83801569767986</v>
      </c>
      <c r="IN5" s="63">
        <v>1.8534109263814231</v>
      </c>
      <c r="IO5" s="63">
        <v>21.919140201045796</v>
      </c>
      <c r="IP5" s="63">
        <v>67.777149852722005</v>
      </c>
      <c r="IQ5" s="63">
        <v>116.03840646908147</v>
      </c>
      <c r="IR5" s="63">
        <v>32.570727252258671</v>
      </c>
      <c r="IS5" s="63">
        <v>157.46616821980712</v>
      </c>
      <c r="IT5" s="63">
        <v>40.16909154311125</v>
      </c>
      <c r="IU5" s="63">
        <v>15.017089188083578</v>
      </c>
      <c r="IW5" s="67">
        <v>29.820867159405591</v>
      </c>
      <c r="IX5" s="67">
        <v>7.2836287528274131</v>
      </c>
      <c r="IY5" s="67">
        <v>11.904063069012508</v>
      </c>
      <c r="JA5" s="63">
        <v>31.900748450093719</v>
      </c>
      <c r="JB5" s="63">
        <v>26.922584719036369</v>
      </c>
      <c r="JC5" s="63">
        <v>24.268056899432938</v>
      </c>
      <c r="JD5" s="63">
        <v>34.763487212595969</v>
      </c>
      <c r="JE5" s="63">
        <v>25.803948178263425</v>
      </c>
      <c r="JF5" s="63">
        <v>29.89438944290599</v>
      </c>
      <c r="JG5" s="63">
        <v>32.481187428828697</v>
      </c>
      <c r="JH5" s="63">
        <v>185.42025109250361</v>
      </c>
      <c r="JI5" s="63">
        <v>55.068960726468418</v>
      </c>
      <c r="JJ5" s="63">
        <v>59.521353832229863</v>
      </c>
      <c r="JK5" s="63">
        <v>55.471201393674903</v>
      </c>
      <c r="JL5" s="63">
        <v>60.71048051137987</v>
      </c>
      <c r="JM5" s="63">
        <v>65.728414039761915</v>
      </c>
      <c r="JN5" s="63">
        <v>332.83641783164114</v>
      </c>
      <c r="JO5" s="63">
        <v>76.396122288030085</v>
      </c>
      <c r="JP5" s="63">
        <v>230.23236563781001</v>
      </c>
      <c r="JQ5" s="63">
        <v>99.315894090997645</v>
      </c>
      <c r="JS5" s="70"/>
      <c r="JT5" s="70"/>
      <c r="JV5" s="73">
        <f t="shared" si="82"/>
        <v>41.386307972154157</v>
      </c>
      <c r="JW5" s="73">
        <f t="shared" si="83"/>
        <v>18.722006909584394</v>
      </c>
      <c r="JX5" s="73">
        <f t="shared" si="84"/>
        <v>9.9063036209964519</v>
      </c>
      <c r="JY5" s="73">
        <f t="shared" si="85"/>
        <v>14.08509836585438</v>
      </c>
      <c r="JZ5" s="73">
        <f t="shared" si="86"/>
        <v>7.2792628853786452</v>
      </c>
      <c r="KA5" s="73">
        <f t="shared" si="87"/>
        <v>1.8793514417650905</v>
      </c>
      <c r="KB5" s="73">
        <f t="shared" si="88"/>
        <v>5.5595000874014353</v>
      </c>
      <c r="KC5" s="73">
        <f t="shared" si="89"/>
        <v>0.24035449078528606</v>
      </c>
      <c r="KD5" s="73">
        <f t="shared" si="90"/>
        <v>11.014297720494939</v>
      </c>
      <c r="KE5" s="73">
        <f t="shared" si="91"/>
        <v>0.50770870598217877</v>
      </c>
      <c r="KF5" s="73">
        <f t="shared" si="92"/>
        <v>3.7913864473279473</v>
      </c>
      <c r="KG5" s="73">
        <f t="shared" si="93"/>
        <v>12.461970304427247</v>
      </c>
      <c r="KH5" s="73">
        <f t="shared" si="94"/>
        <v>1.32581828476084</v>
      </c>
      <c r="KI5" s="73">
        <f t="shared" si="95"/>
        <v>14.857349506035179</v>
      </c>
      <c r="KJ5" s="73">
        <f t="shared" si="96"/>
        <v>0.2651897161799146</v>
      </c>
      <c r="KK5" s="73">
        <f t="shared" si="97"/>
        <v>3.1362341108950917</v>
      </c>
      <c r="KL5" s="73">
        <f t="shared" si="98"/>
        <v>9.6976892048536278</v>
      </c>
      <c r="KM5" s="73">
        <f t="shared" si="99"/>
        <v>16.603005647314561</v>
      </c>
      <c r="KN5" s="73">
        <f t="shared" si="100"/>
        <v>4.6602843399998095</v>
      </c>
      <c r="KO5" s="73">
        <f t="shared" si="101"/>
        <v>22.530572073230378</v>
      </c>
      <c r="KP5" s="73">
        <f t="shared" si="102"/>
        <v>5.7474733929190513</v>
      </c>
      <c r="KQ5" s="73">
        <f t="shared" si="103"/>
        <v>2.1486749446392297</v>
      </c>
      <c r="KS5" s="66">
        <f t="shared" si="104"/>
        <v>4.2668288967528385</v>
      </c>
      <c r="KT5" s="66">
        <f t="shared" si="105"/>
        <v>1.0421560670807573</v>
      </c>
      <c r="KU5" s="66">
        <f t="shared" si="106"/>
        <v>1.7032569851212631</v>
      </c>
      <c r="KW5" s="32">
        <f t="shared" si="107"/>
        <v>4.5644224424229103</v>
      </c>
      <c r="KX5" s="32">
        <f t="shared" si="108"/>
        <v>3.8521368892597465</v>
      </c>
      <c r="KY5" s="32">
        <f t="shared" si="109"/>
        <v>3.4723217769971297</v>
      </c>
      <c r="KZ5" s="32">
        <f t="shared" si="110"/>
        <v>4.9740287898978348</v>
      </c>
      <c r="LA5" s="32">
        <f t="shared" si="111"/>
        <v>3.6920801514184327</v>
      </c>
      <c r="LB5" s="32">
        <f t="shared" si="112"/>
        <v>4.2773486110897112</v>
      </c>
      <c r="LC5" s="32">
        <f t="shared" si="113"/>
        <v>4.6474728042393325</v>
      </c>
      <c r="LD5" s="32">
        <f t="shared" si="114"/>
        <v>26.53029776684842</v>
      </c>
      <c r="LE5" s="32">
        <f t="shared" si="115"/>
        <v>7.8793762664856803</v>
      </c>
      <c r="LF5" s="32">
        <f t="shared" si="116"/>
        <v>8.5164335144126291</v>
      </c>
      <c r="LG5" s="32">
        <f t="shared" si="117"/>
        <v>7.9369296599906862</v>
      </c>
      <c r="LH5" s="32">
        <f t="shared" si="118"/>
        <v>8.6865761212447943</v>
      </c>
      <c r="LI5" s="32">
        <f t="shared" si="119"/>
        <v>9.4045520159911167</v>
      </c>
      <c r="LJ5" s="32">
        <f t="shared" si="120"/>
        <v>47.622895669143105</v>
      </c>
      <c r="LK5" s="32">
        <f t="shared" si="121"/>
        <v>10.930908897986848</v>
      </c>
      <c r="LL5" s="32">
        <f t="shared" si="122"/>
        <v>32.942104111862932</v>
      </c>
      <c r="LM5" s="32">
        <f t="shared" si="123"/>
        <v>14.21031536571722</v>
      </c>
    </row>
    <row r="6" spans="1:325" x14ac:dyDescent="0.3">
      <c r="A6" s="11" t="s">
        <v>23</v>
      </c>
      <c r="B6" s="59">
        <v>8.5000000000000006E-2</v>
      </c>
      <c r="C6" s="3">
        <v>4</v>
      </c>
      <c r="D6" s="57">
        <f t="shared" si="0"/>
        <v>47.058823529411761</v>
      </c>
      <c r="E6"/>
      <c r="F6">
        <v>1.07</v>
      </c>
      <c r="G6">
        <v>2.73</v>
      </c>
      <c r="H6">
        <v>1.89</v>
      </c>
      <c r="I6"/>
      <c r="J6">
        <v>3.36</v>
      </c>
      <c r="K6">
        <v>2.77</v>
      </c>
      <c r="L6"/>
      <c r="M6">
        <v>3</v>
      </c>
      <c r="N6">
        <v>3.21</v>
      </c>
      <c r="O6">
        <v>1.55</v>
      </c>
      <c r="P6">
        <v>3.04</v>
      </c>
      <c r="Q6">
        <v>1.5</v>
      </c>
      <c r="R6">
        <v>2.19</v>
      </c>
      <c r="S6">
        <v>3.26</v>
      </c>
      <c r="T6">
        <v>2.89</v>
      </c>
      <c r="U6">
        <v>4.28</v>
      </c>
      <c r="V6">
        <v>2.85</v>
      </c>
      <c r="W6">
        <v>4.07</v>
      </c>
      <c r="X6">
        <v>4.57</v>
      </c>
      <c r="Y6">
        <v>4.49</v>
      </c>
      <c r="Z6">
        <v>4.34</v>
      </c>
      <c r="AA6">
        <v>6.32</v>
      </c>
      <c r="AB6">
        <v>3.76</v>
      </c>
      <c r="AC6">
        <v>4.12</v>
      </c>
      <c r="AD6">
        <v>3.95</v>
      </c>
      <c r="AE6">
        <v>3.41</v>
      </c>
      <c r="AF6">
        <v>4.2300000000000004</v>
      </c>
      <c r="AG6">
        <v>3.14</v>
      </c>
      <c r="AH6">
        <v>3.51</v>
      </c>
      <c r="AI6">
        <v>3.23</v>
      </c>
      <c r="AJ6">
        <v>5.13</v>
      </c>
      <c r="AK6">
        <v>4.72</v>
      </c>
      <c r="AL6">
        <v>3.7</v>
      </c>
      <c r="AM6">
        <v>4.38</v>
      </c>
      <c r="AN6"/>
      <c r="AO6"/>
      <c r="AP6">
        <v>2.4</v>
      </c>
      <c r="AQ6">
        <v>2.54</v>
      </c>
      <c r="AR6">
        <v>1.8</v>
      </c>
      <c r="AS6">
        <v>3.24</v>
      </c>
      <c r="AT6">
        <v>4.26</v>
      </c>
      <c r="AU6">
        <v>3.71</v>
      </c>
      <c r="AV6">
        <v>4.91</v>
      </c>
      <c r="AW6">
        <v>4.9400000000000004</v>
      </c>
      <c r="AX6">
        <v>2.64</v>
      </c>
      <c r="AY6">
        <v>2.81</v>
      </c>
      <c r="AZ6">
        <v>2.3199999999999998</v>
      </c>
      <c r="BA6">
        <v>3.14</v>
      </c>
      <c r="BB6">
        <v>3.17</v>
      </c>
      <c r="BC6">
        <v>0.74</v>
      </c>
      <c r="BD6">
        <v>0.81</v>
      </c>
      <c r="BE6">
        <v>0.91</v>
      </c>
      <c r="BF6">
        <v>4.55</v>
      </c>
      <c r="BG6">
        <v>4.5</v>
      </c>
      <c r="BH6">
        <v>5</v>
      </c>
      <c r="BI6">
        <v>3.64</v>
      </c>
      <c r="BJ6">
        <v>3.29</v>
      </c>
      <c r="BK6">
        <v>3.27</v>
      </c>
      <c r="BL6">
        <v>7.61</v>
      </c>
      <c r="BM6">
        <v>6.65</v>
      </c>
      <c r="BN6">
        <v>7.01</v>
      </c>
      <c r="BO6">
        <v>1.56</v>
      </c>
      <c r="BP6">
        <v>1.33</v>
      </c>
      <c r="BQ6">
        <v>4.63</v>
      </c>
      <c r="BR6">
        <v>2.87</v>
      </c>
      <c r="BS6">
        <v>6.29</v>
      </c>
      <c r="BT6">
        <v>6.3</v>
      </c>
      <c r="BU6">
        <v>5.23</v>
      </c>
      <c r="BV6">
        <v>3</v>
      </c>
      <c r="BW6">
        <v>3.1</v>
      </c>
      <c r="BX6">
        <v>4.3</v>
      </c>
      <c r="BY6">
        <v>5</v>
      </c>
      <c r="BZ6">
        <v>4.8</v>
      </c>
      <c r="CA6">
        <v>1.5</v>
      </c>
      <c r="CB6">
        <v>3.5</v>
      </c>
      <c r="CC6"/>
      <c r="CD6">
        <v>13.65</v>
      </c>
      <c r="CE6">
        <v>2.2000000000000002</v>
      </c>
      <c r="CF6">
        <v>2.2000000000000002</v>
      </c>
      <c r="CG6">
        <v>1.1399999999999999</v>
      </c>
      <c r="CH6">
        <v>3.53</v>
      </c>
      <c r="CI6" s="3">
        <v>1.23</v>
      </c>
      <c r="CJ6" s="3">
        <v>3.96</v>
      </c>
      <c r="CK6" s="3">
        <v>0.64</v>
      </c>
      <c r="CL6" s="27"/>
      <c r="CM6" s="27">
        <f t="shared" si="1"/>
        <v>12.588235294117647</v>
      </c>
      <c r="CN6" s="27">
        <f>G6/B6</f>
        <v>32.117647058823529</v>
      </c>
      <c r="CO6" s="27">
        <f>H6/B6</f>
        <v>22.235294117647054</v>
      </c>
      <c r="CP6" s="27"/>
      <c r="CQ6" s="27">
        <f>J6/B6</f>
        <v>39.529411764705877</v>
      </c>
      <c r="CR6" s="27">
        <f t="shared" si="2"/>
        <v>32.588235294117645</v>
      </c>
      <c r="CS6" s="27">
        <f t="shared" si="55"/>
        <v>35.294117647058819</v>
      </c>
      <c r="CT6" s="27">
        <f t="shared" si="3"/>
        <v>35.294117647058819</v>
      </c>
      <c r="CU6" s="27">
        <f>N6/B6</f>
        <v>37.764705882352935</v>
      </c>
      <c r="CV6" s="27">
        <f t="shared" si="4"/>
        <v>18.235294117647058</v>
      </c>
      <c r="CW6" s="27">
        <f>P6/B6</f>
        <v>35.764705882352942</v>
      </c>
      <c r="CX6" s="27">
        <f>Q6/B6</f>
        <v>17.647058823529409</v>
      </c>
      <c r="CY6" s="27">
        <f>R6/B6</f>
        <v>25.764705882352938</v>
      </c>
      <c r="CZ6" s="27">
        <f t="shared" si="5"/>
        <v>38.35294117647058</v>
      </c>
      <c r="DA6" s="27">
        <f t="shared" si="6"/>
        <v>34</v>
      </c>
      <c r="DB6" s="27">
        <f t="shared" si="7"/>
        <v>50.352941176470587</v>
      </c>
      <c r="DC6" s="27">
        <f t="shared" si="8"/>
        <v>33.529411764705884</v>
      </c>
      <c r="DD6" s="27">
        <f t="shared" si="9"/>
        <v>47.882352941176471</v>
      </c>
      <c r="DE6" s="27">
        <f t="shared" si="10"/>
        <v>53.764705882352942</v>
      </c>
      <c r="DF6" s="27">
        <f t="shared" si="11"/>
        <v>52.823529411764703</v>
      </c>
      <c r="DG6" s="27">
        <f t="shared" si="12"/>
        <v>51.058823529411761</v>
      </c>
      <c r="DH6" s="27">
        <f t="shared" si="56"/>
        <v>74.35294117647058</v>
      </c>
      <c r="DI6" s="27">
        <f t="shared" si="13"/>
        <v>44.235294117647051</v>
      </c>
      <c r="DJ6" s="27">
        <f t="shared" si="14"/>
        <v>48.470588235294116</v>
      </c>
      <c r="DK6" s="27">
        <f t="shared" si="15"/>
        <v>46.470588235294116</v>
      </c>
      <c r="DL6" s="27">
        <f t="shared" si="16"/>
        <v>40.117647058823529</v>
      </c>
      <c r="DM6" s="27">
        <f t="shared" si="17"/>
        <v>49.764705882352942</v>
      </c>
      <c r="DN6" s="27">
        <f t="shared" si="18"/>
        <v>36.941176470588232</v>
      </c>
      <c r="DO6" s="27">
        <f t="shared" si="19"/>
        <v>41.294117647058819</v>
      </c>
      <c r="DP6" s="27">
        <f t="shared" si="20"/>
        <v>38</v>
      </c>
      <c r="DQ6" s="27">
        <f t="shared" si="21"/>
        <v>60.35294117647058</v>
      </c>
      <c r="DR6" s="27">
        <f t="shared" si="22"/>
        <v>55.529411764705877</v>
      </c>
      <c r="DS6" s="27">
        <f t="shared" si="23"/>
        <v>43.529411764705884</v>
      </c>
      <c r="DT6" s="27">
        <f t="shared" si="24"/>
        <v>51.529411764705877</v>
      </c>
      <c r="DU6" s="27"/>
      <c r="DV6" s="27"/>
      <c r="DW6" s="27">
        <f t="shared" si="25"/>
        <v>28.235294117647054</v>
      </c>
      <c r="DX6" s="27">
        <f t="shared" si="57"/>
        <v>29.882352941176467</v>
      </c>
      <c r="DY6" s="27">
        <f t="shared" si="26"/>
        <v>21.176470588235293</v>
      </c>
      <c r="DZ6" s="27">
        <f t="shared" si="27"/>
        <v>38.117647058823529</v>
      </c>
      <c r="EA6" s="27">
        <f t="shared" si="28"/>
        <v>50.117647058823522</v>
      </c>
      <c r="EB6" s="27">
        <f t="shared" si="29"/>
        <v>43.647058823529406</v>
      </c>
      <c r="EC6" s="27">
        <f t="shared" si="30"/>
        <v>57.764705882352942</v>
      </c>
      <c r="ED6" s="27">
        <f t="shared" si="31"/>
        <v>58.117647058823529</v>
      </c>
      <c r="EE6" s="27">
        <f t="shared" si="32"/>
        <v>31.058823529411764</v>
      </c>
      <c r="EF6" s="27">
        <f t="shared" si="33"/>
        <v>33.058823529411761</v>
      </c>
      <c r="EG6" s="27">
        <f t="shared" si="34"/>
        <v>27.294117647058819</v>
      </c>
      <c r="EH6" s="27">
        <f t="shared" si="35"/>
        <v>36.941176470588232</v>
      </c>
      <c r="EI6" s="27">
        <f t="shared" si="36"/>
        <v>37.294117647058819</v>
      </c>
      <c r="EJ6" s="27">
        <f t="shared" si="37"/>
        <v>8.7058823529411757</v>
      </c>
      <c r="EK6" s="27">
        <f>BD6/B6</f>
        <v>9.5294117647058822</v>
      </c>
      <c r="EL6" s="27">
        <f t="shared" si="38"/>
        <v>10.705882352941176</v>
      </c>
      <c r="EM6" s="27">
        <f t="shared" si="39"/>
        <v>53.529411764705877</v>
      </c>
      <c r="EN6" s="27">
        <f t="shared" si="40"/>
        <v>52.941176470588232</v>
      </c>
      <c r="EO6" s="27">
        <f>BH6/B6</f>
        <v>58.823529411764703</v>
      </c>
      <c r="EP6" s="27">
        <f t="shared" si="41"/>
        <v>42.823529411764703</v>
      </c>
      <c r="EQ6" s="27">
        <f t="shared" si="58"/>
        <v>38.705882352941174</v>
      </c>
      <c r="ER6" s="27">
        <f t="shared" si="59"/>
        <v>38.470588235294116</v>
      </c>
      <c r="ES6" s="27">
        <f t="shared" si="60"/>
        <v>89.529411764705884</v>
      </c>
      <c r="ET6" s="27">
        <f t="shared" si="61"/>
        <v>78.235294117647058</v>
      </c>
      <c r="EU6" s="27">
        <f t="shared" si="62"/>
        <v>82.470588235294116</v>
      </c>
      <c r="EV6" s="27">
        <f t="shared" si="63"/>
        <v>18.352941176470587</v>
      </c>
      <c r="EW6" s="27">
        <f t="shared" si="64"/>
        <v>15.647058823529411</v>
      </c>
      <c r="EX6" s="27">
        <f t="shared" si="65"/>
        <v>54.470588235294116</v>
      </c>
      <c r="EY6" s="27">
        <f t="shared" si="66"/>
        <v>33.764705882352942</v>
      </c>
      <c r="EZ6" s="27">
        <f t="shared" si="67"/>
        <v>74</v>
      </c>
      <c r="FA6" s="27">
        <f t="shared" si="68"/>
        <v>74.117647058823522</v>
      </c>
      <c r="FB6" s="27">
        <f t="shared" si="69"/>
        <v>61.529411764705884</v>
      </c>
      <c r="FC6" s="31"/>
      <c r="FD6" s="31"/>
      <c r="FE6" s="31"/>
      <c r="FF6" s="31">
        <f>BY6/B6</f>
        <v>58.823529411764703</v>
      </c>
      <c r="FG6" s="31">
        <f t="shared" si="70"/>
        <v>56.470588235294109</v>
      </c>
      <c r="FH6" s="31">
        <f t="shared" si="42"/>
        <v>17.647058823529409</v>
      </c>
      <c r="FI6" s="31">
        <f t="shared" si="71"/>
        <v>41.17647058823529</v>
      </c>
      <c r="FJ6" s="31">
        <f t="shared" si="43"/>
        <v>0</v>
      </c>
      <c r="FK6" s="31">
        <f t="shared" si="72"/>
        <v>160.58823529411765</v>
      </c>
      <c r="FL6" s="31">
        <f t="shared" si="44"/>
        <v>25.882352941176471</v>
      </c>
      <c r="FM6" s="31">
        <f t="shared" si="45"/>
        <v>25.882352941176471</v>
      </c>
      <c r="FN6" s="31">
        <f t="shared" si="46"/>
        <v>13.411764705882351</v>
      </c>
      <c r="FO6" s="31">
        <f t="shared" si="47"/>
        <v>41.529411764705877</v>
      </c>
      <c r="FP6" s="31">
        <f t="shared" si="48"/>
        <v>14.470588235294116</v>
      </c>
      <c r="FQ6" s="31">
        <f t="shared" si="49"/>
        <v>46.588235294117645</v>
      </c>
      <c r="FR6" s="31">
        <f t="shared" si="50"/>
        <v>7.5294117647058822</v>
      </c>
      <c r="FS6" s="3">
        <v>0.12</v>
      </c>
      <c r="FT6" s="29">
        <f t="shared" si="51"/>
        <v>1.4117647058823528</v>
      </c>
      <c r="FU6" s="34">
        <v>0.11</v>
      </c>
      <c r="FV6" s="34">
        <v>0.04</v>
      </c>
      <c r="FW6" s="34">
        <v>0.15</v>
      </c>
      <c r="FX6" s="34">
        <v>7.0000000000000007E-2</v>
      </c>
      <c r="FY6" s="34">
        <v>0.02</v>
      </c>
      <c r="FZ6" s="34">
        <v>0.04</v>
      </c>
      <c r="GA6" s="34">
        <v>0.05</v>
      </c>
      <c r="GB6" s="34">
        <v>0.05</v>
      </c>
      <c r="GC6" s="34">
        <v>0.09</v>
      </c>
      <c r="GD6" s="34">
        <v>7.0000000000000007E-2</v>
      </c>
      <c r="GE6" s="34">
        <v>0.06</v>
      </c>
      <c r="GF6" s="3">
        <v>4.7</v>
      </c>
      <c r="GG6" s="3">
        <v>5.4</v>
      </c>
      <c r="GH6" s="23" t="s">
        <v>23</v>
      </c>
      <c r="GI6" s="23"/>
      <c r="GJ6" s="23"/>
      <c r="GK6" s="23"/>
      <c r="GL6" s="36">
        <v>8.5000000000000006E-2</v>
      </c>
      <c r="GM6" s="37">
        <f>FU6/GL6</f>
        <v>1.2941176470588234</v>
      </c>
      <c r="GN6" s="37">
        <f t="shared" si="124"/>
        <v>0.47058823529411764</v>
      </c>
      <c r="GO6" s="37">
        <f t="shared" si="125"/>
        <v>1.7647058823529409</v>
      </c>
      <c r="GP6" s="37">
        <f t="shared" si="126"/>
        <v>0.82352941176470595</v>
      </c>
      <c r="GQ6" s="37">
        <f t="shared" si="127"/>
        <v>0.23529411764705882</v>
      </c>
      <c r="GR6" s="37">
        <f t="shared" si="128"/>
        <v>0.47058823529411764</v>
      </c>
      <c r="GS6" s="37">
        <f t="shared" si="129"/>
        <v>0.58823529411764708</v>
      </c>
      <c r="GT6" s="37">
        <f t="shared" si="130"/>
        <v>0.58823529411764708</v>
      </c>
      <c r="GU6" s="37">
        <f t="shared" si="131"/>
        <v>1.0588235294117645</v>
      </c>
      <c r="GV6" s="37">
        <f t="shared" si="132"/>
        <v>0.82352941176470595</v>
      </c>
      <c r="GW6" s="37">
        <f t="shared" si="133"/>
        <v>0.70588235294117641</v>
      </c>
      <c r="GX6" s="37">
        <f t="shared" si="73"/>
        <v>55.294117647058819</v>
      </c>
      <c r="GY6" s="37">
        <f t="shared" si="74"/>
        <v>63.529411764705884</v>
      </c>
      <c r="GZ6" s="37"/>
      <c r="HA6" s="50"/>
      <c r="HB6" s="50"/>
      <c r="HC6" s="50"/>
      <c r="HD6" s="23" t="s">
        <v>23</v>
      </c>
      <c r="HE6" s="36">
        <v>8.5000000000000006E-2</v>
      </c>
      <c r="HG6" s="3">
        <f t="shared" si="75"/>
        <v>12.588235294117647</v>
      </c>
      <c r="HH6" s="3">
        <f t="shared" si="76"/>
        <v>12.588235294117647</v>
      </c>
      <c r="HI6" s="3">
        <f t="shared" si="77"/>
        <v>32.117647058823529</v>
      </c>
      <c r="HJ6" s="3">
        <f t="shared" si="52"/>
        <v>0.47249999999999998</v>
      </c>
      <c r="HK6" s="3">
        <f t="shared" si="52"/>
        <v>0</v>
      </c>
      <c r="HM6" s="3">
        <f t="shared" si="52"/>
        <v>2.5887850467289719</v>
      </c>
      <c r="HN6" s="3">
        <f t="shared" si="52"/>
        <v>0</v>
      </c>
      <c r="HO6" s="3">
        <f t="shared" si="52"/>
        <v>1.5873015873015874</v>
      </c>
      <c r="HQ6" s="3">
        <f t="shared" si="52"/>
        <v>0.46130952380952384</v>
      </c>
      <c r="HR6" s="3">
        <f t="shared" si="78"/>
        <v>1.0974729241877257</v>
      </c>
      <c r="HT6" s="3">
        <f t="shared" si="80"/>
        <v>0.73</v>
      </c>
      <c r="HU6" s="3">
        <f t="shared" si="81"/>
        <v>1.0155763239875388</v>
      </c>
      <c r="HV6" s="36">
        <v>8.5000000000000006E-2</v>
      </c>
      <c r="HW6" s="56"/>
      <c r="HX6" s="23" t="s">
        <v>23</v>
      </c>
      <c r="HZ6" s="63">
        <v>0.11536697199683997</v>
      </c>
      <c r="IA6" s="63">
        <v>0.73715215268796752</v>
      </c>
      <c r="IB6" s="63">
        <v>0.74066285510387553</v>
      </c>
      <c r="IC6" s="63">
        <v>0.45788976690013861</v>
      </c>
      <c r="ID6" s="63">
        <v>1.2680672795030212E-2</v>
      </c>
      <c r="IE6" s="63">
        <v>1.7829227055433695E-2</v>
      </c>
      <c r="IF6" s="63">
        <v>0.44813479500153519</v>
      </c>
      <c r="IG6" s="63">
        <v>1.7414167205472578E-2</v>
      </c>
      <c r="IH6" s="63">
        <v>0.38032630831405878</v>
      </c>
      <c r="IJ6" s="63">
        <v>0.32375475713181961</v>
      </c>
      <c r="IK6" s="63">
        <v>0.28725507694788083</v>
      </c>
      <c r="IL6" s="63">
        <v>4.3817041725870566E-2</v>
      </c>
      <c r="IM6" s="63">
        <v>8.2314996395965123E-2</v>
      </c>
      <c r="IN6" s="63">
        <v>2.056323747765541E-2</v>
      </c>
      <c r="IO6" s="63">
        <v>0.3525056630047525</v>
      </c>
      <c r="IP6" s="63">
        <v>0.38973145787676927</v>
      </c>
      <c r="IQ6" s="63">
        <v>0.5036293772697964</v>
      </c>
      <c r="IR6" s="63">
        <v>5.0504793241791635E-2</v>
      </c>
      <c r="IS6" s="63">
        <v>0.39138135099445315</v>
      </c>
      <c r="IT6" s="63">
        <v>0.31549381698304707</v>
      </c>
      <c r="IW6" s="67">
        <v>0.14208346190794519</v>
      </c>
      <c r="IX6" s="67">
        <v>6.4038921112352779E-2</v>
      </c>
      <c r="IY6" s="67">
        <v>5.147903926197496E-2</v>
      </c>
      <c r="JA6" s="63">
        <v>0.14355334632840314</v>
      </c>
      <c r="JB6" s="63">
        <v>0.20268943298800213</v>
      </c>
      <c r="JC6" s="63">
        <v>0.186081548778676</v>
      </c>
      <c r="JD6" s="63">
        <v>0.25272923693068827</v>
      </c>
      <c r="JE6" s="63">
        <v>0.15835125670075606</v>
      </c>
      <c r="JF6" s="63">
        <v>0.23422925895612837</v>
      </c>
      <c r="JG6" s="63">
        <v>0.25281529533216157</v>
      </c>
      <c r="JH6" s="63">
        <v>0.68769629120275944</v>
      </c>
      <c r="JI6" s="63">
        <v>0.40262253963966277</v>
      </c>
      <c r="JJ6" s="63">
        <v>0.44688337624800706</v>
      </c>
      <c r="JK6" s="63">
        <v>0.46401387307402769</v>
      </c>
      <c r="JL6" s="63">
        <v>0.45776496590399535</v>
      </c>
      <c r="JM6" s="63">
        <v>0.50244924082411968</v>
      </c>
      <c r="JN6" s="63">
        <v>0.97276485328148887</v>
      </c>
      <c r="JO6" s="63">
        <v>0.47262465122362457</v>
      </c>
      <c r="JP6" s="63">
        <v>0.81550200810537588</v>
      </c>
      <c r="JQ6" s="63">
        <v>0.48947704397424896</v>
      </c>
      <c r="JS6" s="69"/>
      <c r="JT6" s="69"/>
      <c r="JV6" s="73">
        <f t="shared" si="82"/>
        <v>1.3572584940804702</v>
      </c>
      <c r="JW6" s="73">
        <f t="shared" si="83"/>
        <v>8.6723782669172635</v>
      </c>
      <c r="JX6" s="73">
        <f t="shared" si="84"/>
        <v>8.7136806482808886</v>
      </c>
      <c r="JY6" s="73">
        <f t="shared" si="85"/>
        <v>5.3869384341192772</v>
      </c>
      <c r="JZ6" s="73">
        <f t="shared" si="86"/>
        <v>0.14918438582388485</v>
      </c>
      <c r="KA6" s="73">
        <f t="shared" si="87"/>
        <v>0.20975561241686699</v>
      </c>
      <c r="KB6" s="73">
        <f t="shared" si="88"/>
        <v>5.27217405884159</v>
      </c>
      <c r="KC6" s="73">
        <f t="shared" si="89"/>
        <v>0.20487255535850091</v>
      </c>
      <c r="KD6" s="73">
        <f t="shared" si="90"/>
        <v>4.4744271566359854</v>
      </c>
      <c r="KE6" s="73"/>
      <c r="KF6" s="73">
        <f t="shared" si="92"/>
        <v>3.808879495668466</v>
      </c>
      <c r="KG6" s="73">
        <f t="shared" si="93"/>
        <v>3.3794714935044801</v>
      </c>
      <c r="KH6" s="73">
        <f t="shared" si="94"/>
        <v>0.51549460853965368</v>
      </c>
      <c r="KI6" s="73">
        <f t="shared" si="95"/>
        <v>0.96841172230547201</v>
      </c>
      <c r="KJ6" s="73">
        <f t="shared" si="96"/>
        <v>0.24192044091359305</v>
      </c>
      <c r="KK6" s="73">
        <f t="shared" si="97"/>
        <v>4.1471254471147354</v>
      </c>
      <c r="KL6" s="73">
        <f t="shared" si="98"/>
        <v>4.585075975020815</v>
      </c>
      <c r="KM6" s="73">
        <f t="shared" si="99"/>
        <v>5.9250514972917223</v>
      </c>
      <c r="KN6" s="73">
        <f t="shared" si="100"/>
        <v>0.59417403813872505</v>
      </c>
      <c r="KO6" s="73">
        <f t="shared" si="101"/>
        <v>4.6044864822876841</v>
      </c>
      <c r="KP6" s="73">
        <f t="shared" si="102"/>
        <v>3.7116919645064357</v>
      </c>
      <c r="KQ6" s="73"/>
      <c r="KS6" s="66">
        <f t="shared" si="104"/>
        <v>1.6715701400934726</v>
      </c>
      <c r="KT6" s="66">
        <f t="shared" si="105"/>
        <v>0.75339907191003264</v>
      </c>
      <c r="KU6" s="66">
        <f t="shared" si="106"/>
        <v>0.60563575602323483</v>
      </c>
      <c r="KW6" s="32">
        <f t="shared" si="107"/>
        <v>1.6888628979812133</v>
      </c>
      <c r="KX6" s="32">
        <f t="shared" si="108"/>
        <v>2.3845815645647308</v>
      </c>
      <c r="KY6" s="32">
        <f t="shared" si="109"/>
        <v>2.1891946915138352</v>
      </c>
      <c r="KZ6" s="32">
        <f t="shared" si="110"/>
        <v>2.9732851403610381</v>
      </c>
      <c r="LA6" s="32">
        <f t="shared" si="111"/>
        <v>1.8629559611853652</v>
      </c>
      <c r="LB6" s="32">
        <f t="shared" si="112"/>
        <v>2.7556383406603335</v>
      </c>
      <c r="LC6" s="32">
        <f t="shared" si="113"/>
        <v>2.9742975921430772</v>
      </c>
      <c r="LD6" s="32">
        <f t="shared" si="114"/>
        <v>8.0905446023854051</v>
      </c>
      <c r="LE6" s="32">
        <f t="shared" si="115"/>
        <v>4.7367357604666207</v>
      </c>
      <c r="LF6" s="32">
        <f t="shared" si="116"/>
        <v>5.2574514852706713</v>
      </c>
      <c r="LG6" s="32">
        <f t="shared" si="117"/>
        <v>5.4589867420473839</v>
      </c>
      <c r="LH6" s="32">
        <f t="shared" si="118"/>
        <v>5.3854701871058275</v>
      </c>
      <c r="LI6" s="32">
        <f t="shared" si="119"/>
        <v>5.9111675391072902</v>
      </c>
      <c r="LJ6" s="32">
        <f t="shared" si="120"/>
        <v>11.444292391546927</v>
      </c>
      <c r="LK6" s="32">
        <f t="shared" si="121"/>
        <v>5.5602900143955827</v>
      </c>
      <c r="LL6" s="32">
        <f t="shared" si="122"/>
        <v>9.5941412718279508</v>
      </c>
      <c r="LM6" s="32">
        <f t="shared" si="123"/>
        <v>5.7585534585205753</v>
      </c>
    </row>
    <row r="7" spans="1:325" x14ac:dyDescent="0.3">
      <c r="A7" s="11" t="s">
        <v>24</v>
      </c>
      <c r="B7" s="59">
        <v>2.1000000000000001E-2</v>
      </c>
      <c r="C7" s="3">
        <v>1.02</v>
      </c>
      <c r="D7" s="57">
        <f t="shared" si="0"/>
        <v>48.571428571428569</v>
      </c>
      <c r="E7"/>
      <c r="F7">
        <v>0.3</v>
      </c>
      <c r="G7"/>
      <c r="H7"/>
      <c r="I7"/>
      <c r="J7"/>
      <c r="K7">
        <v>0.9</v>
      </c>
      <c r="L7"/>
      <c r="M7">
        <v>1</v>
      </c>
      <c r="N7"/>
      <c r="O7">
        <v>0.5</v>
      </c>
      <c r="P7"/>
      <c r="Q7"/>
      <c r="R7"/>
      <c r="S7">
        <v>1.2</v>
      </c>
      <c r="T7">
        <v>1.1000000000000001</v>
      </c>
      <c r="U7">
        <v>1.5</v>
      </c>
      <c r="V7">
        <v>0.9</v>
      </c>
      <c r="W7">
        <v>1.3</v>
      </c>
      <c r="X7">
        <v>1.5</v>
      </c>
      <c r="Y7">
        <v>1.65</v>
      </c>
      <c r="Z7">
        <v>1.47</v>
      </c>
      <c r="AA7">
        <v>2.2999999999999998</v>
      </c>
      <c r="AB7">
        <v>1.3</v>
      </c>
      <c r="AC7">
        <v>1.2</v>
      </c>
      <c r="AD7">
        <v>1.2</v>
      </c>
      <c r="AE7">
        <v>1</v>
      </c>
      <c r="AF7">
        <v>1.1000000000000001</v>
      </c>
      <c r="AG7">
        <v>0.9</v>
      </c>
      <c r="AH7">
        <v>1</v>
      </c>
      <c r="AI7">
        <v>0.8</v>
      </c>
      <c r="AJ7">
        <v>1.3</v>
      </c>
      <c r="AK7">
        <v>1.3</v>
      </c>
      <c r="AL7">
        <v>0.9</v>
      </c>
      <c r="AM7">
        <v>1.2</v>
      </c>
      <c r="AN7"/>
      <c r="AO7"/>
      <c r="AP7">
        <v>0.7</v>
      </c>
      <c r="AQ7">
        <v>0.73</v>
      </c>
      <c r="AR7">
        <v>0.52</v>
      </c>
      <c r="AS7">
        <v>0.8</v>
      </c>
      <c r="AT7">
        <v>1.2</v>
      </c>
      <c r="AU7">
        <v>0.94</v>
      </c>
      <c r="AV7">
        <v>1.3</v>
      </c>
      <c r="AW7">
        <v>1.3</v>
      </c>
      <c r="AX7">
        <v>0.7</v>
      </c>
      <c r="AY7">
        <v>0.8</v>
      </c>
      <c r="AZ7">
        <v>0.7</v>
      </c>
      <c r="BA7">
        <v>0.8</v>
      </c>
      <c r="BB7">
        <v>0.8</v>
      </c>
      <c r="BC7">
        <v>0.2</v>
      </c>
      <c r="BD7">
        <v>0.2</v>
      </c>
      <c r="BE7">
        <v>0.3</v>
      </c>
      <c r="BF7">
        <v>1.9</v>
      </c>
      <c r="BG7">
        <v>1.3</v>
      </c>
      <c r="BH7"/>
      <c r="BI7">
        <v>1</v>
      </c>
      <c r="BJ7">
        <v>0.9</v>
      </c>
      <c r="BK7">
        <v>0.85</v>
      </c>
      <c r="BL7">
        <v>1.53</v>
      </c>
      <c r="BM7">
        <v>1.51</v>
      </c>
      <c r="BN7">
        <v>1.39</v>
      </c>
      <c r="BO7">
        <v>0.35</v>
      </c>
      <c r="BP7">
        <v>0.31</v>
      </c>
      <c r="BQ7">
        <v>1.04</v>
      </c>
      <c r="BR7">
        <v>0.68</v>
      </c>
      <c r="BS7">
        <v>1.63</v>
      </c>
      <c r="BT7">
        <v>1.51</v>
      </c>
      <c r="BU7">
        <v>1.5</v>
      </c>
      <c r="BV7"/>
      <c r="BW7"/>
      <c r="BX7"/>
      <c r="BY7"/>
      <c r="BZ7">
        <v>1.1100000000000001</v>
      </c>
      <c r="CA7">
        <v>0.4</v>
      </c>
      <c r="CB7">
        <v>0.7</v>
      </c>
      <c r="CC7">
        <v>0.6</v>
      </c>
      <c r="CD7">
        <v>2.99</v>
      </c>
      <c r="CE7"/>
      <c r="CF7">
        <v>0.8</v>
      </c>
      <c r="CG7">
        <v>0.8</v>
      </c>
      <c r="CH7">
        <v>1.42</v>
      </c>
      <c r="CI7" s="3">
        <v>0.3</v>
      </c>
      <c r="CJ7" s="3">
        <v>1.31</v>
      </c>
      <c r="CL7" s="27"/>
      <c r="CM7" s="27">
        <f t="shared" si="1"/>
        <v>14.285714285714285</v>
      </c>
      <c r="CN7" s="27"/>
      <c r="CO7" s="27"/>
      <c r="CP7" s="27"/>
      <c r="CQ7" s="27"/>
      <c r="CR7" s="27">
        <f t="shared" si="2"/>
        <v>42.857142857142854</v>
      </c>
      <c r="CS7" s="27">
        <f t="shared" si="55"/>
        <v>47.619047619047613</v>
      </c>
      <c r="CT7" s="27">
        <f t="shared" si="3"/>
        <v>47.619047619047613</v>
      </c>
      <c r="CU7" s="27"/>
      <c r="CV7" s="27">
        <f t="shared" si="4"/>
        <v>23.809523809523807</v>
      </c>
      <c r="CW7" s="27"/>
      <c r="CX7" s="27"/>
      <c r="CY7" s="27"/>
      <c r="CZ7" s="27">
        <f t="shared" si="5"/>
        <v>57.142857142857139</v>
      </c>
      <c r="DA7" s="27">
        <f t="shared" si="6"/>
        <v>52.38095238095238</v>
      </c>
      <c r="DB7" s="27">
        <f t="shared" si="7"/>
        <v>71.428571428571431</v>
      </c>
      <c r="DC7" s="27">
        <f t="shared" si="8"/>
        <v>42.857142857142854</v>
      </c>
      <c r="DD7" s="27">
        <f t="shared" si="9"/>
        <v>61.904761904761905</v>
      </c>
      <c r="DE7" s="27">
        <f t="shared" si="10"/>
        <v>71.428571428571431</v>
      </c>
      <c r="DF7" s="27">
        <f t="shared" si="11"/>
        <v>78.571428571428569</v>
      </c>
      <c r="DG7" s="27">
        <f t="shared" si="12"/>
        <v>70</v>
      </c>
      <c r="DH7" s="27">
        <f t="shared" si="56"/>
        <v>109.5238095238095</v>
      </c>
      <c r="DI7" s="27">
        <f t="shared" si="13"/>
        <v>61.904761904761905</v>
      </c>
      <c r="DJ7" s="27">
        <f t="shared" si="14"/>
        <v>57.142857142857139</v>
      </c>
      <c r="DK7" s="27">
        <f t="shared" si="15"/>
        <v>57.142857142857139</v>
      </c>
      <c r="DL7" s="27">
        <f t="shared" si="16"/>
        <v>47.619047619047613</v>
      </c>
      <c r="DM7" s="27">
        <f t="shared" si="17"/>
        <v>52.38095238095238</v>
      </c>
      <c r="DN7" s="27">
        <f t="shared" si="18"/>
        <v>42.857142857142854</v>
      </c>
      <c r="DO7" s="27">
        <f t="shared" si="19"/>
        <v>47.619047619047613</v>
      </c>
      <c r="DP7" s="27">
        <f t="shared" si="20"/>
        <v>38.095238095238095</v>
      </c>
      <c r="DQ7" s="27">
        <f t="shared" si="21"/>
        <v>61.904761904761905</v>
      </c>
      <c r="DR7" s="27">
        <f t="shared" si="22"/>
        <v>61.904761904761905</v>
      </c>
      <c r="DS7" s="27">
        <f t="shared" si="23"/>
        <v>42.857142857142854</v>
      </c>
      <c r="DT7" s="27">
        <f t="shared" si="24"/>
        <v>57.142857142857139</v>
      </c>
      <c r="DU7" s="27"/>
      <c r="DV7" s="27"/>
      <c r="DW7" s="27">
        <f t="shared" si="25"/>
        <v>33.333333333333329</v>
      </c>
      <c r="DX7" s="27">
        <f t="shared" si="57"/>
        <v>34.761904761904759</v>
      </c>
      <c r="DY7" s="27">
        <f t="shared" si="26"/>
        <v>24.761904761904763</v>
      </c>
      <c r="DZ7" s="27">
        <f t="shared" si="27"/>
        <v>38.095238095238095</v>
      </c>
      <c r="EA7" s="27">
        <f t="shared" si="28"/>
        <v>57.142857142857139</v>
      </c>
      <c r="EB7" s="27">
        <f t="shared" si="29"/>
        <v>44.761904761904759</v>
      </c>
      <c r="EC7" s="27">
        <f t="shared" si="30"/>
        <v>61.904761904761905</v>
      </c>
      <c r="ED7" s="27">
        <f t="shared" si="31"/>
        <v>61.904761904761905</v>
      </c>
      <c r="EE7" s="27">
        <f t="shared" si="32"/>
        <v>33.333333333333329</v>
      </c>
      <c r="EF7" s="27">
        <f t="shared" si="33"/>
        <v>38.095238095238095</v>
      </c>
      <c r="EG7" s="27">
        <f t="shared" si="34"/>
        <v>33.333333333333329</v>
      </c>
      <c r="EH7" s="27">
        <f t="shared" si="35"/>
        <v>38.095238095238095</v>
      </c>
      <c r="EI7" s="27">
        <f t="shared" si="36"/>
        <v>38.095238095238095</v>
      </c>
      <c r="EJ7" s="27">
        <f t="shared" si="37"/>
        <v>9.5238095238095237</v>
      </c>
      <c r="EK7" s="27">
        <f>BD7/B7</f>
        <v>9.5238095238095237</v>
      </c>
      <c r="EL7" s="27">
        <f t="shared" si="38"/>
        <v>14.285714285714285</v>
      </c>
      <c r="EM7" s="27">
        <f t="shared" si="39"/>
        <v>90.476190476190467</v>
      </c>
      <c r="EN7" s="27">
        <f t="shared" si="40"/>
        <v>61.904761904761905</v>
      </c>
      <c r="EO7" s="27"/>
      <c r="EP7" s="27">
        <f t="shared" si="41"/>
        <v>47.619047619047613</v>
      </c>
      <c r="EQ7" s="27">
        <f t="shared" si="58"/>
        <v>42.857142857142854</v>
      </c>
      <c r="ER7" s="27">
        <f t="shared" si="59"/>
        <v>40.476190476190474</v>
      </c>
      <c r="ES7" s="27">
        <f t="shared" si="60"/>
        <v>72.857142857142847</v>
      </c>
      <c r="ET7" s="27">
        <f t="shared" si="61"/>
        <v>71.904761904761898</v>
      </c>
      <c r="EU7" s="27">
        <f t="shared" si="62"/>
        <v>66.190476190476176</v>
      </c>
      <c r="EV7" s="27">
        <f t="shared" si="63"/>
        <v>16.666666666666664</v>
      </c>
      <c r="EW7" s="27">
        <f t="shared" si="64"/>
        <v>14.761904761904761</v>
      </c>
      <c r="EX7" s="27">
        <f t="shared" si="65"/>
        <v>49.523809523809526</v>
      </c>
      <c r="EY7" s="27">
        <f t="shared" si="66"/>
        <v>32.38095238095238</v>
      </c>
      <c r="EZ7" s="27">
        <f t="shared" si="67"/>
        <v>77.619047619047606</v>
      </c>
      <c r="FA7" s="27">
        <f t="shared" si="68"/>
        <v>71.904761904761898</v>
      </c>
      <c r="FB7" s="27">
        <f t="shared" si="69"/>
        <v>71.428571428571431</v>
      </c>
      <c r="FC7" s="31">
        <f>BV8/B8</f>
        <v>51.893408134642357</v>
      </c>
      <c r="FD7" s="31">
        <f>BW8/B8</f>
        <v>53.295932678821885</v>
      </c>
      <c r="FE7" s="31">
        <f t="shared" ref="FE7:FE14" si="137">BX8/B8</f>
        <v>53.295932678821885</v>
      </c>
      <c r="FF7" s="31"/>
      <c r="FG7" s="31">
        <f t="shared" si="70"/>
        <v>52.857142857142861</v>
      </c>
      <c r="FH7" s="31">
        <f t="shared" si="42"/>
        <v>19.047619047619047</v>
      </c>
      <c r="FI7" s="31">
        <f t="shared" si="71"/>
        <v>33.333333333333329</v>
      </c>
      <c r="FJ7" s="31">
        <f t="shared" si="43"/>
        <v>28.571428571428569</v>
      </c>
      <c r="FK7" s="31">
        <f t="shared" si="72"/>
        <v>142.38095238095238</v>
      </c>
      <c r="FL7" s="31">
        <f t="shared" si="44"/>
        <v>0</v>
      </c>
      <c r="FM7" s="31">
        <f t="shared" si="45"/>
        <v>38.095238095238095</v>
      </c>
      <c r="FN7" s="31">
        <f t="shared" si="46"/>
        <v>38.095238095238095</v>
      </c>
      <c r="FO7" s="31">
        <f t="shared" si="47"/>
        <v>67.619047619047606</v>
      </c>
      <c r="FP7" s="31">
        <f t="shared" si="48"/>
        <v>14.285714285714285</v>
      </c>
      <c r="FQ7" s="31">
        <f t="shared" si="49"/>
        <v>62.38095238095238</v>
      </c>
      <c r="FR7" s="31">
        <f t="shared" si="50"/>
        <v>0</v>
      </c>
      <c r="FS7" s="3">
        <v>4.7E-2</v>
      </c>
      <c r="FT7" s="29">
        <f t="shared" si="51"/>
        <v>2.2380952380952381</v>
      </c>
      <c r="FU7" s="34">
        <v>0.12</v>
      </c>
      <c r="FV7" s="34">
        <v>0.1</v>
      </c>
      <c r="FW7" s="34">
        <v>0.14000000000000001</v>
      </c>
      <c r="FX7" s="34">
        <v>0.13</v>
      </c>
      <c r="FY7" s="34">
        <v>0.06</v>
      </c>
      <c r="FZ7" s="34">
        <v>0.04</v>
      </c>
      <c r="GA7" s="34">
        <v>0.05</v>
      </c>
      <c r="GB7" s="34">
        <v>0.03</v>
      </c>
      <c r="GC7" s="34">
        <v>0.05</v>
      </c>
      <c r="GD7" s="34">
        <v>0.04</v>
      </c>
      <c r="GE7" s="34">
        <v>0.03</v>
      </c>
      <c r="GF7" s="3">
        <v>1.5</v>
      </c>
      <c r="GG7" s="3">
        <v>1.8</v>
      </c>
      <c r="GH7" s="23" t="s">
        <v>24</v>
      </c>
      <c r="GI7" s="23"/>
      <c r="GJ7" s="23"/>
      <c r="GK7" s="23"/>
      <c r="GL7" s="36">
        <v>2.1000000000000001E-2</v>
      </c>
      <c r="GM7" s="37">
        <f>FU7/GL7</f>
        <v>5.7142857142857135</v>
      </c>
      <c r="GN7" s="37">
        <f t="shared" si="124"/>
        <v>4.7619047619047619</v>
      </c>
      <c r="GO7" s="37">
        <f t="shared" si="125"/>
        <v>6.666666666666667</v>
      </c>
      <c r="GP7" s="37">
        <f t="shared" si="126"/>
        <v>6.1904761904761907</v>
      </c>
      <c r="GQ7" s="37">
        <f t="shared" si="127"/>
        <v>2.8571428571428568</v>
      </c>
      <c r="GR7" s="37">
        <f t="shared" si="128"/>
        <v>1.9047619047619047</v>
      </c>
      <c r="GS7" s="37">
        <f t="shared" si="129"/>
        <v>2.3809523809523809</v>
      </c>
      <c r="GT7" s="37">
        <f t="shared" si="130"/>
        <v>1.4285714285714284</v>
      </c>
      <c r="GU7" s="37">
        <f t="shared" si="131"/>
        <v>2.3809523809523809</v>
      </c>
      <c r="GV7" s="37">
        <f t="shared" si="132"/>
        <v>1.9047619047619047</v>
      </c>
      <c r="GW7" s="37">
        <f t="shared" si="133"/>
        <v>1.4285714285714284</v>
      </c>
      <c r="GX7" s="37">
        <f t="shared" si="73"/>
        <v>71.428571428571431</v>
      </c>
      <c r="GY7" s="37">
        <f t="shared" si="74"/>
        <v>85.714285714285708</v>
      </c>
      <c r="GZ7" s="37"/>
      <c r="HA7" s="50"/>
      <c r="HB7" s="50"/>
      <c r="HC7" s="50"/>
      <c r="HD7" s="23" t="s">
        <v>24</v>
      </c>
      <c r="HE7" s="36">
        <v>2.1000000000000001E-2</v>
      </c>
      <c r="HG7" s="3">
        <f t="shared" si="75"/>
        <v>14.285714285714285</v>
      </c>
      <c r="HH7" s="3">
        <f t="shared" si="76"/>
        <v>14.285714285714285</v>
      </c>
      <c r="HI7" s="3">
        <f t="shared" si="77"/>
        <v>0</v>
      </c>
      <c r="HJ7" s="3">
        <f t="shared" si="52"/>
        <v>0</v>
      </c>
      <c r="HK7" s="3">
        <f t="shared" si="52"/>
        <v>0</v>
      </c>
      <c r="HM7" s="3">
        <f t="shared" si="52"/>
        <v>3</v>
      </c>
      <c r="HQ7" s="3"/>
      <c r="HR7" s="3">
        <f t="shared" si="78"/>
        <v>0</v>
      </c>
      <c r="HT7" s="3">
        <f t="shared" si="80"/>
        <v>0</v>
      </c>
      <c r="HV7" s="36">
        <v>2.1000000000000001E-2</v>
      </c>
      <c r="HW7" s="56"/>
      <c r="HX7" s="23" t="s">
        <v>24</v>
      </c>
      <c r="HZ7" s="63">
        <v>8.7061218973015816E-2</v>
      </c>
      <c r="IA7" s="63">
        <v>0.17074595643420609</v>
      </c>
      <c r="IB7" s="63">
        <v>0.16988312346558607</v>
      </c>
      <c r="IC7" s="63">
        <v>0.17147377963567334</v>
      </c>
      <c r="ID7" s="63">
        <v>9.8722695851638051E-2</v>
      </c>
      <c r="IE7" s="63">
        <v>5.5952592595259745E-3</v>
      </c>
      <c r="IF7" s="63">
        <v>0.10571248993339635</v>
      </c>
      <c r="IG7" s="63">
        <v>6.8313928220568778E-3</v>
      </c>
      <c r="IH7" s="63">
        <v>0.10687008471166248</v>
      </c>
      <c r="II7" s="64">
        <v>4.9666343227175109E-3</v>
      </c>
      <c r="IJ7" s="63">
        <v>0.11069973295233332</v>
      </c>
      <c r="IK7" s="63">
        <v>9.0280458950123404E-2</v>
      </c>
      <c r="IL7" s="63">
        <v>1.9022979627872413E-2</v>
      </c>
      <c r="IM7" s="63">
        <v>2.3863032375162484E-2</v>
      </c>
      <c r="IN7" s="63">
        <v>6.3168118580153995E-3</v>
      </c>
      <c r="IO7" s="63">
        <v>8.3160300162980066E-2</v>
      </c>
      <c r="IP7" s="63">
        <v>9.3757846391774091E-2</v>
      </c>
      <c r="IQ7" s="63">
        <v>0.13146707449492839</v>
      </c>
      <c r="IR7" s="63">
        <v>0.11694762533988226</v>
      </c>
      <c r="IS7" s="63">
        <v>0.10147597697942051</v>
      </c>
      <c r="IT7" s="63">
        <v>9.5139283765310723E-2</v>
      </c>
      <c r="IU7" s="63">
        <v>9.9745572127073925E-2</v>
      </c>
      <c r="IW7" s="67">
        <v>8.0081375646376018E-2</v>
      </c>
      <c r="IX7" s="67">
        <v>1.6835828601127784E-2</v>
      </c>
      <c r="IY7" s="67">
        <v>2.1302485642020794E-2</v>
      </c>
      <c r="JA7" s="63">
        <v>3.1321839498717231E-2</v>
      </c>
      <c r="JB7" s="63">
        <v>4.4051195946817397E-2</v>
      </c>
      <c r="JC7" s="63">
        <v>4.3589673743489446E-2</v>
      </c>
      <c r="JD7" s="63">
        <v>5.4215184671416547E-2</v>
      </c>
      <c r="JE7" s="63">
        <v>3.9149473045481539E-2</v>
      </c>
      <c r="JF7" s="63">
        <v>5.2968313673439148E-2</v>
      </c>
      <c r="JG7" s="63">
        <v>6.4224125722536482E-2</v>
      </c>
      <c r="JH7" s="63">
        <v>0.14409626087853011</v>
      </c>
      <c r="JI7" s="63">
        <v>8.7563149904457849E-2</v>
      </c>
      <c r="JJ7" s="63">
        <v>9.9317529118515213E-2</v>
      </c>
      <c r="JK7" s="63">
        <v>9.6626725909130531E-2</v>
      </c>
      <c r="JL7" s="63">
        <v>9.7394611285642987E-2</v>
      </c>
      <c r="JM7" s="63">
        <v>0.11553419169544342</v>
      </c>
      <c r="JN7" s="63">
        <v>0.2307144621724643</v>
      </c>
      <c r="JO7" s="63">
        <v>0.12597774687146493</v>
      </c>
      <c r="JP7" s="63">
        <v>0.21368386784654606</v>
      </c>
      <c r="JQ7" s="63">
        <v>0.1653247863494261</v>
      </c>
      <c r="JS7" s="69"/>
      <c r="JT7" s="69"/>
      <c r="JV7" s="73">
        <f t="shared" si="82"/>
        <v>4.1457723320483719</v>
      </c>
      <c r="JW7" s="73">
        <f t="shared" si="83"/>
        <v>8.1307598302002901</v>
      </c>
      <c r="JX7" s="73">
        <f t="shared" si="84"/>
        <v>8.0896725459802887</v>
      </c>
      <c r="JY7" s="73">
        <f t="shared" si="85"/>
        <v>8.1654180778892069</v>
      </c>
      <c r="JZ7" s="73">
        <f t="shared" si="86"/>
        <v>4.7010807548399072</v>
      </c>
      <c r="KA7" s="73">
        <f t="shared" si="87"/>
        <v>0.2664409171202845</v>
      </c>
      <c r="KB7" s="73">
        <f t="shared" si="88"/>
        <v>5.0339280920664926</v>
      </c>
      <c r="KC7" s="73">
        <f t="shared" si="89"/>
        <v>0.32530442009794652</v>
      </c>
      <c r="KD7" s="73">
        <f t="shared" si="90"/>
        <v>5.0890516529363081</v>
      </c>
      <c r="KE7" s="73">
        <f t="shared" si="91"/>
        <v>0.23650639631988146</v>
      </c>
      <c r="KF7" s="73">
        <f t="shared" si="92"/>
        <v>5.2714158548730152</v>
      </c>
      <c r="KG7" s="73">
        <f t="shared" si="93"/>
        <v>4.2990694738153996</v>
      </c>
      <c r="KH7" s="73">
        <f t="shared" si="94"/>
        <v>0.90585617275582908</v>
      </c>
      <c r="KI7" s="73">
        <f t="shared" si="95"/>
        <v>1.1363348750077373</v>
      </c>
      <c r="KJ7" s="73">
        <f t="shared" si="96"/>
        <v>0.30080056466739996</v>
      </c>
      <c r="KK7" s="73">
        <f t="shared" si="97"/>
        <v>3.9600142934752411</v>
      </c>
      <c r="KL7" s="73">
        <f t="shared" si="98"/>
        <v>4.4646593519892424</v>
      </c>
      <c r="KM7" s="73">
        <f t="shared" si="99"/>
        <v>6.2603368807108755</v>
      </c>
      <c r="KN7" s="73">
        <f t="shared" si="100"/>
        <v>5.5689345399943928</v>
      </c>
      <c r="KO7" s="73">
        <f t="shared" si="101"/>
        <v>4.8321893799724052</v>
      </c>
      <c r="KP7" s="73">
        <f t="shared" si="102"/>
        <v>4.5304420840624147</v>
      </c>
      <c r="KQ7" s="73">
        <f t="shared" si="103"/>
        <v>4.749789148908282</v>
      </c>
      <c r="KS7" s="66">
        <f t="shared" si="104"/>
        <v>3.8133988403036199</v>
      </c>
      <c r="KT7" s="66">
        <f t="shared" si="105"/>
        <v>0.8017061238632277</v>
      </c>
      <c r="KU7" s="66">
        <f t="shared" si="106"/>
        <v>1.0144040781914663</v>
      </c>
      <c r="KW7" s="32">
        <f t="shared" si="107"/>
        <v>1.4915161666055823</v>
      </c>
      <c r="KX7" s="32">
        <f t="shared" si="108"/>
        <v>2.097675997467495</v>
      </c>
      <c r="KY7" s="32">
        <f t="shared" si="109"/>
        <v>2.0756987496899737</v>
      </c>
      <c r="KZ7" s="32">
        <f t="shared" si="110"/>
        <v>2.5816754605436447</v>
      </c>
      <c r="LA7" s="32">
        <f t="shared" si="111"/>
        <v>1.8642606212134065</v>
      </c>
      <c r="LB7" s="32">
        <f t="shared" si="112"/>
        <v>2.5223006511161499</v>
      </c>
      <c r="LC7" s="32">
        <f t="shared" si="113"/>
        <v>3.0582917010731658</v>
      </c>
      <c r="LD7" s="32">
        <f t="shared" si="114"/>
        <v>6.8617267085014335</v>
      </c>
      <c r="LE7" s="32">
        <f t="shared" si="115"/>
        <v>4.1696738049741828</v>
      </c>
      <c r="LF7" s="32">
        <f t="shared" si="116"/>
        <v>4.7294061485007237</v>
      </c>
      <c r="LG7" s="32">
        <f t="shared" si="117"/>
        <v>4.6012726623395492</v>
      </c>
      <c r="LH7" s="32">
        <f t="shared" si="118"/>
        <v>4.6378386326496654</v>
      </c>
      <c r="LI7" s="32">
        <f t="shared" si="119"/>
        <v>5.5016281759734955</v>
      </c>
      <c r="LJ7" s="32">
        <f t="shared" si="120"/>
        <v>10.986402960593537</v>
      </c>
      <c r="LK7" s="32">
        <f t="shared" si="121"/>
        <v>5.9989403272126154</v>
      </c>
      <c r="LL7" s="32">
        <f t="shared" si="122"/>
        <v>10.175422278406954</v>
      </c>
      <c r="LM7" s="32">
        <f t="shared" si="123"/>
        <v>7.8726088737821946</v>
      </c>
    </row>
    <row r="8" spans="1:325" x14ac:dyDescent="0.3">
      <c r="A8" s="11" t="s">
        <v>9</v>
      </c>
      <c r="B8" s="59">
        <v>0.71299999999999997</v>
      </c>
      <c r="C8" s="3">
        <v>48</v>
      </c>
      <c r="D8" s="57">
        <f t="shared" si="0"/>
        <v>67.32117812061712</v>
      </c>
      <c r="E8">
        <v>8.6</v>
      </c>
      <c r="F8">
        <v>8.3000000000000007</v>
      </c>
      <c r="G8">
        <v>13.7</v>
      </c>
      <c r="H8">
        <v>10.8</v>
      </c>
      <c r="I8">
        <v>16</v>
      </c>
      <c r="J8">
        <v>19.8</v>
      </c>
      <c r="K8">
        <v>18</v>
      </c>
      <c r="L8">
        <v>17.8</v>
      </c>
      <c r="M8">
        <v>21.2</v>
      </c>
      <c r="N8">
        <v>17.2</v>
      </c>
      <c r="O8">
        <v>15.8</v>
      </c>
      <c r="P8">
        <v>14.6</v>
      </c>
      <c r="Q8">
        <v>12.2</v>
      </c>
      <c r="R8">
        <v>14.6</v>
      </c>
      <c r="S8">
        <v>14.9</v>
      </c>
      <c r="T8">
        <v>15.3</v>
      </c>
      <c r="U8">
        <v>17.100000000000001</v>
      </c>
      <c r="V8">
        <v>12.8</v>
      </c>
      <c r="W8">
        <v>15.3</v>
      </c>
      <c r="X8">
        <v>13.7</v>
      </c>
      <c r="Y8">
        <v>16.600000000000001</v>
      </c>
      <c r="Z8">
        <v>13.6</v>
      </c>
      <c r="AA8">
        <v>14.6</v>
      </c>
      <c r="AB8">
        <v>13.9</v>
      </c>
      <c r="AC8">
        <v>16</v>
      </c>
      <c r="AD8">
        <v>12.8</v>
      </c>
      <c r="AE8">
        <v>12</v>
      </c>
      <c r="AF8">
        <v>13.1</v>
      </c>
      <c r="AG8">
        <v>13.9</v>
      </c>
      <c r="AH8">
        <v>12.6</v>
      </c>
      <c r="AI8">
        <v>13.5</v>
      </c>
      <c r="AJ8">
        <v>14.6</v>
      </c>
      <c r="AK8">
        <v>17.100000000000001</v>
      </c>
      <c r="AL8">
        <v>14.2</v>
      </c>
      <c r="AM8">
        <v>15.7</v>
      </c>
      <c r="AN8">
        <v>16</v>
      </c>
      <c r="AO8">
        <v>12.7</v>
      </c>
      <c r="AP8">
        <v>11.1</v>
      </c>
      <c r="AQ8">
        <v>9.1</v>
      </c>
      <c r="AR8">
        <v>8.4</v>
      </c>
      <c r="AS8">
        <v>11.5</v>
      </c>
      <c r="AT8">
        <v>14.7</v>
      </c>
      <c r="AU8">
        <v>14</v>
      </c>
      <c r="AV8">
        <v>15.1</v>
      </c>
      <c r="AW8">
        <v>14.4</v>
      </c>
      <c r="AX8">
        <v>11.7</v>
      </c>
      <c r="AY8">
        <v>12.6</v>
      </c>
      <c r="AZ8">
        <v>10.3</v>
      </c>
      <c r="BA8">
        <v>14.4</v>
      </c>
      <c r="BB8">
        <v>13.7</v>
      </c>
      <c r="BC8">
        <v>7.6</v>
      </c>
      <c r="BD8"/>
      <c r="BE8">
        <v>9.5</v>
      </c>
      <c r="BF8">
        <v>23.6</v>
      </c>
      <c r="BG8">
        <v>22.2</v>
      </c>
      <c r="BH8">
        <v>18.7</v>
      </c>
      <c r="BI8">
        <v>17.600000000000001</v>
      </c>
      <c r="BJ8">
        <v>16.8</v>
      </c>
      <c r="BK8">
        <v>19.2</v>
      </c>
      <c r="BL8">
        <v>25.4</v>
      </c>
      <c r="BM8">
        <v>24.4</v>
      </c>
      <c r="BN8">
        <v>18.5</v>
      </c>
      <c r="BO8">
        <v>11.3</v>
      </c>
      <c r="BP8">
        <v>15.3</v>
      </c>
      <c r="BQ8">
        <v>21.4</v>
      </c>
      <c r="BR8">
        <v>13.8</v>
      </c>
      <c r="BS8">
        <v>29.6</v>
      </c>
      <c r="BT8">
        <v>24.7</v>
      </c>
      <c r="BU8">
        <v>31.2</v>
      </c>
      <c r="BV8">
        <v>37</v>
      </c>
      <c r="BW8">
        <v>38</v>
      </c>
      <c r="BX8">
        <v>38</v>
      </c>
      <c r="BY8">
        <v>21</v>
      </c>
      <c r="BZ8">
        <v>25</v>
      </c>
      <c r="CA8">
        <v>9</v>
      </c>
      <c r="CB8">
        <v>12</v>
      </c>
      <c r="CC8">
        <v>16</v>
      </c>
      <c r="CD8">
        <v>58</v>
      </c>
      <c r="CE8">
        <v>10</v>
      </c>
      <c r="CF8">
        <v>11</v>
      </c>
      <c r="CG8"/>
      <c r="CH8">
        <v>17.010000000000002</v>
      </c>
      <c r="CI8" s="3">
        <v>14.85</v>
      </c>
      <c r="CJ8" s="3">
        <v>57</v>
      </c>
      <c r="CK8" s="3">
        <v>2.5</v>
      </c>
      <c r="CL8" s="27">
        <f>E8/B8</f>
        <v>12.061711079943899</v>
      </c>
      <c r="CM8" s="27">
        <f t="shared" si="1"/>
        <v>11.640953716690044</v>
      </c>
      <c r="CN8" s="27">
        <f t="shared" ref="CN8:CN25" si="138">G8/B8</f>
        <v>19.214586255259466</v>
      </c>
      <c r="CO8" s="27">
        <f t="shared" ref="CO8:CO21" si="139">H8/B8</f>
        <v>15.147265077138851</v>
      </c>
      <c r="CP8" s="27">
        <f>I8/B8</f>
        <v>22.44039270687237</v>
      </c>
      <c r="CQ8" s="27">
        <f t="shared" ref="CQ8:CQ25" si="140">J8/B8</f>
        <v>27.769985974754562</v>
      </c>
      <c r="CR8" s="27">
        <f t="shared" si="2"/>
        <v>25.245441795231418</v>
      </c>
      <c r="CS8" s="27">
        <f t="shared" si="55"/>
        <v>29.733520336605892</v>
      </c>
      <c r="CT8" s="27">
        <f t="shared" si="3"/>
        <v>29.733520336605892</v>
      </c>
      <c r="CU8" s="27">
        <f t="shared" ref="CU8:CU25" si="141">N8/B8</f>
        <v>24.123422159887799</v>
      </c>
      <c r="CV8" s="27">
        <f t="shared" si="4"/>
        <v>22.159887798036468</v>
      </c>
      <c r="CW8" s="27">
        <f>P8/B8</f>
        <v>20.476858345021039</v>
      </c>
      <c r="CX8" s="27">
        <f t="shared" ref="CX8:CX25" si="142">Q8/B8</f>
        <v>17.110799438990181</v>
      </c>
      <c r="CY8" s="27">
        <f t="shared" ref="CY8:CY25" si="143">R8/B8</f>
        <v>20.476858345021039</v>
      </c>
      <c r="CZ8" s="27">
        <f t="shared" si="5"/>
        <v>20.897615708274895</v>
      </c>
      <c r="DA8" s="27">
        <f t="shared" si="6"/>
        <v>21.458625525946704</v>
      </c>
      <c r="DB8" s="27">
        <f t="shared" si="7"/>
        <v>23.983169705469848</v>
      </c>
      <c r="DC8" s="27">
        <f t="shared" si="8"/>
        <v>17.952314165497899</v>
      </c>
      <c r="DD8" s="27">
        <f t="shared" si="9"/>
        <v>21.458625525946704</v>
      </c>
      <c r="DE8" s="27">
        <f t="shared" si="10"/>
        <v>19.214586255259466</v>
      </c>
      <c r="DF8" s="27">
        <f t="shared" si="11"/>
        <v>23.281907433380088</v>
      </c>
      <c r="DG8" s="27">
        <f t="shared" si="12"/>
        <v>19.074333800841515</v>
      </c>
      <c r="DH8" s="27">
        <f t="shared" si="56"/>
        <v>20.476858345021039</v>
      </c>
      <c r="DI8" s="27">
        <f t="shared" si="13"/>
        <v>19.495091164095374</v>
      </c>
      <c r="DJ8" s="27">
        <f t="shared" si="14"/>
        <v>22.44039270687237</v>
      </c>
      <c r="DK8" s="27">
        <f t="shared" si="15"/>
        <v>17.952314165497899</v>
      </c>
      <c r="DL8" s="27">
        <f t="shared" si="16"/>
        <v>16.83029453015428</v>
      </c>
      <c r="DM8" s="27">
        <f t="shared" si="17"/>
        <v>18.373071528751755</v>
      </c>
      <c r="DN8" s="27">
        <f t="shared" si="18"/>
        <v>19.495091164095374</v>
      </c>
      <c r="DO8" s="27">
        <f t="shared" si="19"/>
        <v>17.671809256661991</v>
      </c>
      <c r="DP8" s="27">
        <f t="shared" si="20"/>
        <v>18.934081346423564</v>
      </c>
      <c r="DQ8" s="27">
        <f t="shared" si="21"/>
        <v>20.476858345021039</v>
      </c>
      <c r="DR8" s="27">
        <f t="shared" si="22"/>
        <v>23.983169705469848</v>
      </c>
      <c r="DS8" s="27">
        <f t="shared" si="23"/>
        <v>19.91584852734923</v>
      </c>
      <c r="DT8" s="27">
        <f t="shared" si="24"/>
        <v>22.019635343618514</v>
      </c>
      <c r="DU8" s="27">
        <f>AN8/B8</f>
        <v>22.44039270687237</v>
      </c>
      <c r="DV8" s="27">
        <f>AO8/B8</f>
        <v>17.812061711079945</v>
      </c>
      <c r="DW8" s="27">
        <f t="shared" si="25"/>
        <v>15.568022440392706</v>
      </c>
      <c r="DX8" s="27">
        <f t="shared" si="57"/>
        <v>12.762973352033661</v>
      </c>
      <c r="DY8" s="27">
        <f t="shared" si="26"/>
        <v>11.781206171107996</v>
      </c>
      <c r="DZ8" s="27">
        <f t="shared" si="27"/>
        <v>16.129032258064516</v>
      </c>
      <c r="EA8" s="27">
        <f t="shared" si="28"/>
        <v>20.61711079943899</v>
      </c>
      <c r="EB8" s="27">
        <f t="shared" si="29"/>
        <v>19.635343618513325</v>
      </c>
      <c r="EC8" s="27">
        <f t="shared" si="30"/>
        <v>21.1781206171108</v>
      </c>
      <c r="ED8" s="27">
        <f t="shared" si="31"/>
        <v>20.196353436185134</v>
      </c>
      <c r="EE8" s="27">
        <f t="shared" si="32"/>
        <v>16.409537166900421</v>
      </c>
      <c r="EF8" s="27">
        <f t="shared" si="33"/>
        <v>17.671809256661991</v>
      </c>
      <c r="EG8" s="27">
        <f t="shared" si="34"/>
        <v>14.446002805049091</v>
      </c>
      <c r="EH8" s="27">
        <f t="shared" si="35"/>
        <v>20.196353436185134</v>
      </c>
      <c r="EI8" s="27">
        <f t="shared" si="36"/>
        <v>19.214586255259466</v>
      </c>
      <c r="EJ8" s="27">
        <f t="shared" si="37"/>
        <v>10.659186535764375</v>
      </c>
      <c r="EK8" s="27"/>
      <c r="EL8" s="27">
        <f t="shared" si="38"/>
        <v>13.323983169705471</v>
      </c>
      <c r="EM8" s="27">
        <f t="shared" si="39"/>
        <v>33.09957924263675</v>
      </c>
      <c r="EN8" s="27">
        <f t="shared" si="40"/>
        <v>31.136044880785413</v>
      </c>
      <c r="EO8" s="27">
        <f>BH8/B8</f>
        <v>26.227208976157083</v>
      </c>
      <c r="EP8" s="27">
        <f t="shared" si="41"/>
        <v>24.684431977559612</v>
      </c>
      <c r="EQ8" s="27">
        <f t="shared" si="58"/>
        <v>23.562412342215993</v>
      </c>
      <c r="ER8" s="27">
        <f t="shared" si="59"/>
        <v>26.928471248246844</v>
      </c>
      <c r="ES8" s="27">
        <f t="shared" si="60"/>
        <v>35.62412342215989</v>
      </c>
      <c r="ET8" s="27">
        <f t="shared" si="61"/>
        <v>34.221598877980362</v>
      </c>
      <c r="EU8" s="27">
        <f t="shared" si="62"/>
        <v>25.946704067321178</v>
      </c>
      <c r="EV8" s="27">
        <f t="shared" si="63"/>
        <v>15.848527349228613</v>
      </c>
      <c r="EW8" s="27">
        <f t="shared" si="64"/>
        <v>21.458625525946704</v>
      </c>
      <c r="EX8" s="27">
        <f t="shared" si="65"/>
        <v>30.014025245441793</v>
      </c>
      <c r="EY8" s="27">
        <f t="shared" si="66"/>
        <v>19.35483870967742</v>
      </c>
      <c r="EZ8" s="27">
        <f t="shared" si="67"/>
        <v>41.514726507713888</v>
      </c>
      <c r="FA8" s="27">
        <f t="shared" si="68"/>
        <v>34.642356241234225</v>
      </c>
      <c r="FB8" s="27">
        <f t="shared" si="69"/>
        <v>43.75876577840112</v>
      </c>
      <c r="FC8" s="31"/>
      <c r="FD8" s="31"/>
      <c r="FE8" s="31">
        <f t="shared" si="137"/>
        <v>51.219512195121951</v>
      </c>
      <c r="FF8" s="31">
        <f>BY8/B8</f>
        <v>29.453015427769987</v>
      </c>
      <c r="FG8" s="31">
        <f t="shared" si="70"/>
        <v>35.06311360448808</v>
      </c>
      <c r="FH8" s="31">
        <f t="shared" si="42"/>
        <v>12.622720897615709</v>
      </c>
      <c r="FI8" s="31">
        <f t="shared" si="71"/>
        <v>16.83029453015428</v>
      </c>
      <c r="FJ8" s="31">
        <f t="shared" si="43"/>
        <v>22.44039270687237</v>
      </c>
      <c r="FK8" s="31">
        <f t="shared" si="72"/>
        <v>81.34642356241234</v>
      </c>
      <c r="FL8" s="31">
        <f t="shared" si="44"/>
        <v>14.025245441795231</v>
      </c>
      <c r="FM8" s="31">
        <f t="shared" si="45"/>
        <v>15.427769985974756</v>
      </c>
      <c r="FN8" s="31">
        <f t="shared" si="46"/>
        <v>0</v>
      </c>
      <c r="FO8" s="31">
        <f t="shared" si="47"/>
        <v>23.856942496493691</v>
      </c>
      <c r="FP8" s="31">
        <f t="shared" si="48"/>
        <v>20.827489481065918</v>
      </c>
      <c r="FQ8" s="31">
        <f t="shared" si="49"/>
        <v>79.943899018232827</v>
      </c>
      <c r="FR8" s="31">
        <f t="shared" si="50"/>
        <v>3.5063113604488079</v>
      </c>
      <c r="FS8" s="3">
        <v>2.33</v>
      </c>
      <c r="FT8" s="29">
        <f t="shared" si="51"/>
        <v>3.2678821879382891</v>
      </c>
      <c r="FU8" s="34">
        <v>1.74</v>
      </c>
      <c r="FV8" s="34">
        <v>0.41</v>
      </c>
      <c r="FW8" s="34">
        <v>2.2400000000000002</v>
      </c>
      <c r="FX8" s="34">
        <v>1.95</v>
      </c>
      <c r="FY8" s="34">
        <v>0.08</v>
      </c>
      <c r="FZ8" s="34">
        <v>0.4</v>
      </c>
      <c r="GA8" s="34">
        <v>0.45</v>
      </c>
      <c r="GB8" s="34">
        <v>0.91</v>
      </c>
      <c r="GC8" s="34">
        <v>1.01</v>
      </c>
      <c r="GD8" s="34">
        <v>0.71</v>
      </c>
      <c r="GE8" s="34">
        <v>1.42</v>
      </c>
      <c r="GF8" s="3">
        <v>78</v>
      </c>
      <c r="GG8" s="3">
        <v>89</v>
      </c>
      <c r="GH8" s="23" t="s">
        <v>9</v>
      </c>
      <c r="GI8" s="23">
        <v>64</v>
      </c>
      <c r="GJ8" s="23">
        <v>3</v>
      </c>
      <c r="GK8" s="23">
        <v>2.5</v>
      </c>
      <c r="GL8" s="36">
        <v>0.71299999999999997</v>
      </c>
      <c r="GM8" s="37">
        <f>FU8/GL8</f>
        <v>2.4403927068723705</v>
      </c>
      <c r="GN8" s="37">
        <f t="shared" si="124"/>
        <v>0.57503506311360453</v>
      </c>
      <c r="GO8" s="37">
        <f t="shared" si="125"/>
        <v>3.1416549789621322</v>
      </c>
      <c r="GP8" s="37">
        <f t="shared" si="126"/>
        <v>2.73492286115007</v>
      </c>
      <c r="GQ8" s="37">
        <f t="shared" si="127"/>
        <v>0.11220196353436186</v>
      </c>
      <c r="GR8" s="37">
        <f t="shared" si="128"/>
        <v>0.56100981767180935</v>
      </c>
      <c r="GS8" s="37">
        <f t="shared" si="129"/>
        <v>0.63113604488078545</v>
      </c>
      <c r="GT8" s="37">
        <f t="shared" si="130"/>
        <v>1.2762973352033662</v>
      </c>
      <c r="GU8" s="37">
        <f t="shared" si="131"/>
        <v>1.4165497896213184</v>
      </c>
      <c r="GV8" s="37">
        <f t="shared" si="132"/>
        <v>0.99579242636746146</v>
      </c>
      <c r="GW8" s="37">
        <f t="shared" si="133"/>
        <v>1.9915848527349229</v>
      </c>
      <c r="GX8" s="37">
        <f t="shared" si="73"/>
        <v>109.39691444600281</v>
      </c>
      <c r="GY8" s="37">
        <f t="shared" si="74"/>
        <v>124.82468443197756</v>
      </c>
      <c r="GZ8" s="37">
        <f t="shared" si="134"/>
        <v>89.761570827489479</v>
      </c>
      <c r="HA8" s="50">
        <f>GI8/B8</f>
        <v>89.761570827489479</v>
      </c>
      <c r="HB8" s="50">
        <f t="shared" si="135"/>
        <v>4.20757363253857</v>
      </c>
      <c r="HC8" s="50">
        <f t="shared" si="136"/>
        <v>3.5063113604488079</v>
      </c>
      <c r="HD8" s="23" t="s">
        <v>9</v>
      </c>
      <c r="HE8" s="36">
        <v>0.71299999999999997</v>
      </c>
      <c r="HG8" s="3">
        <f t="shared" si="75"/>
        <v>11.640953716690044</v>
      </c>
      <c r="HH8" s="3">
        <f t="shared" si="76"/>
        <v>11.640953716690044</v>
      </c>
      <c r="HI8" s="3">
        <f t="shared" si="77"/>
        <v>19.214586255259466</v>
      </c>
      <c r="HJ8" s="3">
        <f t="shared" si="52"/>
        <v>0.22500000000000001</v>
      </c>
      <c r="HK8" s="3">
        <f t="shared" si="52"/>
        <v>0.23766666666666664</v>
      </c>
      <c r="HL8" s="3">
        <f t="shared" si="52"/>
        <v>2.3023255813953489</v>
      </c>
      <c r="HM8" s="3">
        <f t="shared" si="52"/>
        <v>2.1686746987951806</v>
      </c>
      <c r="HN8" s="3">
        <f t="shared" si="52"/>
        <v>1.2992700729927009</v>
      </c>
      <c r="HO8" s="3">
        <f t="shared" si="52"/>
        <v>1.9629629629629628</v>
      </c>
      <c r="HP8" s="3">
        <f t="shared" si="52"/>
        <v>1.075</v>
      </c>
      <c r="HQ8" s="3">
        <f t="shared" si="52"/>
        <v>0.79797979797979801</v>
      </c>
      <c r="HR8" s="3">
        <f t="shared" si="78"/>
        <v>0.81111111111111112</v>
      </c>
      <c r="HS8" s="3">
        <f t="shared" si="79"/>
        <v>0.68539325842696619</v>
      </c>
      <c r="HT8" s="3">
        <f t="shared" si="80"/>
        <v>0.68867924528301883</v>
      </c>
      <c r="HU8" s="3">
        <f t="shared" si="81"/>
        <v>0.86627906976744196</v>
      </c>
      <c r="HV8" s="36">
        <v>0.71299999999999997</v>
      </c>
      <c r="HW8" s="56"/>
      <c r="HX8" s="23" t="s">
        <v>9</v>
      </c>
      <c r="HZ8" s="63">
        <v>1.1905758669171116</v>
      </c>
      <c r="IA8" s="63">
        <v>7.1952301925497917</v>
      </c>
      <c r="IB8" s="63">
        <v>6.7853748920596617</v>
      </c>
      <c r="IC8" s="63">
        <v>4.1104177097574217</v>
      </c>
      <c r="ID8" s="63">
        <v>0.13803643347614067</v>
      </c>
      <c r="IE8" s="63">
        <v>0.22112883350806994</v>
      </c>
      <c r="IF8" s="63">
        <v>4.1299149326094593</v>
      </c>
      <c r="IG8" s="63">
        <v>0.20749174123018066</v>
      </c>
      <c r="IH8" s="63">
        <v>3.4792939386948274</v>
      </c>
      <c r="II8" s="63">
        <v>0.16570921096972346</v>
      </c>
      <c r="IJ8" s="63">
        <v>2.3068608554373231</v>
      </c>
      <c r="IK8" s="63">
        <v>2.4849008412145746</v>
      </c>
      <c r="IL8" s="63">
        <v>0.71148803076422662</v>
      </c>
      <c r="IM8" s="63">
        <v>0.90729732217839698</v>
      </c>
      <c r="IN8" s="63">
        <v>0.29699246470871132</v>
      </c>
      <c r="IO8" s="63">
        <v>3.5268900118354489</v>
      </c>
      <c r="IP8" s="63">
        <v>3.7097081907073548</v>
      </c>
      <c r="IQ8" s="63">
        <v>5.1827926889497098</v>
      </c>
      <c r="IR8" s="63">
        <v>0.37668703784818219</v>
      </c>
      <c r="IS8" s="63">
        <v>4.5161698763275187</v>
      </c>
      <c r="IT8" s="63">
        <v>2.8497599804977938</v>
      </c>
      <c r="IU8" s="63">
        <v>0.14962133347619735</v>
      </c>
      <c r="IW8" s="67">
        <v>0.8162471014824173</v>
      </c>
      <c r="IX8" s="67">
        <v>0.45123056956023139</v>
      </c>
      <c r="IY8" s="67">
        <v>0.60235151042976787</v>
      </c>
      <c r="JA8" s="63">
        <v>1.2612450996159417</v>
      </c>
      <c r="JB8" s="63">
        <v>1.4755822082763406</v>
      </c>
      <c r="JC8" s="63">
        <v>1.5272334146831024</v>
      </c>
      <c r="JD8" s="63">
        <v>1.8864027798709844</v>
      </c>
      <c r="JE8" s="63">
        <v>1.2197161864578168</v>
      </c>
      <c r="JF8" s="63">
        <v>1.7891172257620171</v>
      </c>
      <c r="JG8" s="63">
        <v>1.9697188742138949</v>
      </c>
      <c r="JH8" s="63">
        <v>5.1988282147600966</v>
      </c>
      <c r="JI8" s="63">
        <v>3.2615714257360224</v>
      </c>
      <c r="JJ8" s="63">
        <v>3.5184672545975424</v>
      </c>
      <c r="JK8" s="63">
        <v>3.6112930861313544</v>
      </c>
      <c r="JL8" s="63">
        <v>3.6459759871864472</v>
      </c>
      <c r="JM8" s="63">
        <v>3.8962363485704175</v>
      </c>
      <c r="JN8" s="63">
        <v>7.5990259328834329</v>
      </c>
      <c r="JO8" s="68">
        <v>4.3504603826303851</v>
      </c>
      <c r="JP8" s="68">
        <v>5.6928409734314478</v>
      </c>
      <c r="JQ8" s="68">
        <v>3.8147657905689725</v>
      </c>
      <c r="JS8" s="69"/>
      <c r="JT8" s="69"/>
      <c r="JV8" s="73">
        <f t="shared" si="82"/>
        <v>1.6698118750590627</v>
      </c>
      <c r="JW8" s="73">
        <f t="shared" si="83"/>
        <v>10.09148694607264</v>
      </c>
      <c r="JX8" s="73">
        <f t="shared" si="84"/>
        <v>9.5166548275731593</v>
      </c>
      <c r="JY8" s="73">
        <f t="shared" si="85"/>
        <v>5.7649617247649676</v>
      </c>
      <c r="JZ8" s="73">
        <f t="shared" si="86"/>
        <v>0.19359948594129128</v>
      </c>
      <c r="KA8" s="73">
        <f t="shared" si="87"/>
        <v>0.3101386164208555</v>
      </c>
      <c r="KB8" s="73">
        <f t="shared" si="88"/>
        <v>5.7923070583582881</v>
      </c>
      <c r="KC8" s="73">
        <f t="shared" si="89"/>
        <v>0.29101225978987472</v>
      </c>
      <c r="KD8" s="73">
        <f t="shared" si="90"/>
        <v>4.8797951454345405</v>
      </c>
      <c r="KE8" s="73">
        <f t="shared" si="91"/>
        <v>0.23241123558165985</v>
      </c>
      <c r="KF8" s="73">
        <f t="shared" si="92"/>
        <v>3.2354289697578165</v>
      </c>
      <c r="KG8" s="73">
        <f t="shared" si="93"/>
        <v>3.4851344196557847</v>
      </c>
      <c r="KH8" s="73">
        <f t="shared" si="94"/>
        <v>0.99787942603678348</v>
      </c>
      <c r="KI8" s="73">
        <f t="shared" si="95"/>
        <v>1.2725067632235583</v>
      </c>
      <c r="KJ8" s="73">
        <f t="shared" si="96"/>
        <v>0.41653922119033848</v>
      </c>
      <c r="KK8" s="73">
        <f t="shared" si="97"/>
        <v>4.9465498062208262</v>
      </c>
      <c r="KL8" s="73">
        <f t="shared" si="98"/>
        <v>5.2029567892108766</v>
      </c>
      <c r="KM8" s="73">
        <f t="shared" si="99"/>
        <v>7.2689939536461567</v>
      </c>
      <c r="KN8" s="73">
        <f t="shared" si="100"/>
        <v>0.52831281605635649</v>
      </c>
      <c r="KO8" s="73">
        <f t="shared" si="101"/>
        <v>6.3340390972335472</v>
      </c>
      <c r="KP8" s="73">
        <f t="shared" si="102"/>
        <v>3.9968583176687154</v>
      </c>
      <c r="KQ8" s="73">
        <f t="shared" si="103"/>
        <v>0.20984759253323612</v>
      </c>
      <c r="KS8" s="66">
        <f t="shared" si="104"/>
        <v>1.1448065939444843</v>
      </c>
      <c r="KT8" s="66">
        <f t="shared" si="105"/>
        <v>0.63286194889233016</v>
      </c>
      <c r="KU8" s="66">
        <f t="shared" si="106"/>
        <v>0.84481277760135753</v>
      </c>
      <c r="KW8" s="32">
        <f t="shared" si="107"/>
        <v>1.7689272084375058</v>
      </c>
      <c r="KX8" s="32">
        <f t="shared" si="108"/>
        <v>2.0695402640621889</v>
      </c>
      <c r="KY8" s="32">
        <f t="shared" si="109"/>
        <v>2.1419823487841549</v>
      </c>
      <c r="KZ8" s="32">
        <f t="shared" si="110"/>
        <v>2.6457261989775378</v>
      </c>
      <c r="LA8" s="32">
        <f t="shared" si="111"/>
        <v>1.7106818884401358</v>
      </c>
      <c r="LB8" s="32">
        <f t="shared" si="112"/>
        <v>2.5092808215456062</v>
      </c>
      <c r="LC8" s="32">
        <f t="shared" si="113"/>
        <v>2.7625790662186467</v>
      </c>
      <c r="LD8" s="32">
        <f t="shared" si="114"/>
        <v>7.2914841721740489</v>
      </c>
      <c r="LE8" s="32">
        <f t="shared" si="115"/>
        <v>4.5744339771893721</v>
      </c>
      <c r="LF8" s="32">
        <f t="shared" si="116"/>
        <v>4.9347366824649965</v>
      </c>
      <c r="LG8" s="32">
        <f t="shared" si="117"/>
        <v>5.0649271895250418</v>
      </c>
      <c r="LH8" s="32">
        <f t="shared" si="118"/>
        <v>5.1135708095181593</v>
      </c>
      <c r="LI8" s="32">
        <f t="shared" si="119"/>
        <v>5.464567108794415</v>
      </c>
      <c r="LJ8" s="32">
        <f t="shared" si="120"/>
        <v>10.657820382725713</v>
      </c>
      <c r="LK8" s="32">
        <f t="shared" si="121"/>
        <v>6.1016274651197548</v>
      </c>
      <c r="LL8" s="32">
        <f t="shared" si="122"/>
        <v>7.9843491913484543</v>
      </c>
      <c r="LM8" s="32">
        <f t="shared" si="123"/>
        <v>5.350302651569387</v>
      </c>
    </row>
    <row r="9" spans="1:325" x14ac:dyDescent="0.3">
      <c r="A9" s="11" t="s">
        <v>21</v>
      </c>
      <c r="B9" s="59">
        <v>4.1000000000000002E-2</v>
      </c>
      <c r="C9" s="3">
        <v>2.7</v>
      </c>
      <c r="D9" s="57">
        <f t="shared" si="0"/>
        <v>65.853658536585371</v>
      </c>
      <c r="E9"/>
      <c r="F9">
        <v>0.37</v>
      </c>
      <c r="G9">
        <v>0.81</v>
      </c>
      <c r="H9">
        <v>0.86</v>
      </c>
      <c r="I9"/>
      <c r="J9">
        <v>2.39</v>
      </c>
      <c r="K9">
        <v>0.76</v>
      </c>
      <c r="L9"/>
      <c r="M9">
        <v>0.84</v>
      </c>
      <c r="N9">
        <v>1.01</v>
      </c>
      <c r="O9">
        <v>0.82</v>
      </c>
      <c r="P9">
        <v>1.26</v>
      </c>
      <c r="Q9">
        <v>1.4</v>
      </c>
      <c r="R9">
        <v>1.1100000000000001</v>
      </c>
      <c r="S9">
        <v>1.06</v>
      </c>
      <c r="T9">
        <v>0.81</v>
      </c>
      <c r="U9">
        <v>118</v>
      </c>
      <c r="V9">
        <v>0.73</v>
      </c>
      <c r="W9">
        <v>1</v>
      </c>
      <c r="X9">
        <v>0.99</v>
      </c>
      <c r="Y9">
        <v>1.1599999999999999</v>
      </c>
      <c r="Z9">
        <v>1.01</v>
      </c>
      <c r="AA9">
        <v>4.34</v>
      </c>
      <c r="AB9">
        <v>1.06</v>
      </c>
      <c r="AC9">
        <v>0.18</v>
      </c>
      <c r="AD9">
        <v>7.0000000000000007E-2</v>
      </c>
      <c r="AE9">
        <v>0.64</v>
      </c>
      <c r="AF9">
        <v>0.4</v>
      </c>
      <c r="AG9">
        <v>0.16</v>
      </c>
      <c r="AH9">
        <v>0.23</v>
      </c>
      <c r="AI9">
        <v>0.28999999999999998</v>
      </c>
      <c r="AJ9">
        <v>0.31</v>
      </c>
      <c r="AK9">
        <v>0.18</v>
      </c>
      <c r="AL9">
        <v>0.37</v>
      </c>
      <c r="AM9">
        <v>1.71</v>
      </c>
      <c r="AN9"/>
      <c r="AO9"/>
      <c r="AP9">
        <v>0.7</v>
      </c>
      <c r="AQ9">
        <v>0.61</v>
      </c>
      <c r="AR9">
        <v>0.72</v>
      </c>
      <c r="AS9">
        <v>0.19</v>
      </c>
      <c r="AT9">
        <v>0.16</v>
      </c>
      <c r="AU9">
        <v>1.63</v>
      </c>
      <c r="AV9">
        <v>2.13</v>
      </c>
      <c r="AW9">
        <v>0.85</v>
      </c>
      <c r="AX9">
        <v>0.84</v>
      </c>
      <c r="AY9">
        <v>1.66</v>
      </c>
      <c r="AZ9">
        <v>0.53</v>
      </c>
      <c r="BA9">
        <v>1</v>
      </c>
      <c r="BB9">
        <v>2.5299999999999998</v>
      </c>
      <c r="BC9">
        <v>0.39</v>
      </c>
      <c r="BD9">
        <v>0.66</v>
      </c>
      <c r="BE9">
        <v>0.49</v>
      </c>
      <c r="BF9">
        <v>0.8</v>
      </c>
      <c r="BG9">
        <v>1.05</v>
      </c>
      <c r="BH9"/>
      <c r="BI9">
        <v>0.7</v>
      </c>
      <c r="BJ9">
        <v>1.23</v>
      </c>
      <c r="BK9">
        <v>1</v>
      </c>
      <c r="BL9">
        <v>1.1299999999999999</v>
      </c>
      <c r="BM9">
        <v>1.28</v>
      </c>
      <c r="BN9">
        <v>1.35</v>
      </c>
      <c r="BO9">
        <v>0.8</v>
      </c>
      <c r="BP9">
        <v>0.9</v>
      </c>
      <c r="BQ9">
        <v>1.55</v>
      </c>
      <c r="BR9">
        <v>1.1100000000000001</v>
      </c>
      <c r="BS9">
        <v>1.97</v>
      </c>
      <c r="BT9">
        <v>1.58</v>
      </c>
      <c r="BU9">
        <v>1.97</v>
      </c>
      <c r="BV9"/>
      <c r="BW9"/>
      <c r="BX9">
        <v>2.1</v>
      </c>
      <c r="BY9"/>
      <c r="BZ9">
        <v>1.19</v>
      </c>
      <c r="CA9">
        <v>0.61</v>
      </c>
      <c r="CB9">
        <v>0.9</v>
      </c>
      <c r="CC9"/>
      <c r="CD9">
        <v>2.5099999999999998</v>
      </c>
      <c r="CE9">
        <v>0.56999999999999995</v>
      </c>
      <c r="CF9">
        <v>0.5</v>
      </c>
      <c r="CG9">
        <v>0.13</v>
      </c>
      <c r="CH9" s="3">
        <v>1.21</v>
      </c>
      <c r="CI9" s="3">
        <v>3</v>
      </c>
      <c r="CJ9" s="3">
        <v>3.77</v>
      </c>
      <c r="CK9" s="3">
        <v>0.188</v>
      </c>
      <c r="CL9" s="27"/>
      <c r="CM9" s="27">
        <f t="shared" si="1"/>
        <v>9.0243902439024382</v>
      </c>
      <c r="CN9" s="27">
        <f t="shared" si="138"/>
        <v>19.756097560975611</v>
      </c>
      <c r="CO9" s="27">
        <f t="shared" si="139"/>
        <v>20.975609756097558</v>
      </c>
      <c r="CP9" s="27"/>
      <c r="CQ9" s="27">
        <f t="shared" si="140"/>
        <v>58.292682926829272</v>
      </c>
      <c r="CR9" s="27">
        <f t="shared" si="2"/>
        <v>18.536585365853657</v>
      </c>
      <c r="CS9" s="27">
        <f t="shared" si="55"/>
        <v>20.487804878048777</v>
      </c>
      <c r="CT9" s="27">
        <f t="shared" si="3"/>
        <v>20.487804878048777</v>
      </c>
      <c r="CU9" s="27">
        <f t="shared" si="141"/>
        <v>24.634146341463413</v>
      </c>
      <c r="CV9" s="27">
        <f t="shared" si="4"/>
        <v>19.999999999999996</v>
      </c>
      <c r="CW9" s="27">
        <f>P9/B9</f>
        <v>30.73170731707317</v>
      </c>
      <c r="CX9" s="27">
        <f t="shared" si="142"/>
        <v>34.146341463414629</v>
      </c>
      <c r="CY9" s="27">
        <f t="shared" si="143"/>
        <v>27.073170731707318</v>
      </c>
      <c r="CZ9" s="27">
        <f t="shared" si="5"/>
        <v>25.853658536585368</v>
      </c>
      <c r="DA9" s="27">
        <f t="shared" si="6"/>
        <v>19.756097560975611</v>
      </c>
      <c r="DB9" s="27">
        <f t="shared" si="7"/>
        <v>2878.0487804878048</v>
      </c>
      <c r="DC9" s="27">
        <f t="shared" si="8"/>
        <v>17.804878048780488</v>
      </c>
      <c r="DD9" s="27">
        <f t="shared" si="9"/>
        <v>24.390243902439025</v>
      </c>
      <c r="DE9" s="27">
        <f t="shared" si="10"/>
        <v>24.146341463414632</v>
      </c>
      <c r="DF9" s="27">
        <f t="shared" si="11"/>
        <v>28.292682926829265</v>
      </c>
      <c r="DG9" s="27">
        <f t="shared" si="12"/>
        <v>24.634146341463413</v>
      </c>
      <c r="DH9" s="27">
        <f t="shared" si="56"/>
        <v>105.85365853658536</v>
      </c>
      <c r="DI9" s="27">
        <f t="shared" si="13"/>
        <v>25.853658536585368</v>
      </c>
      <c r="DJ9" s="27">
        <f t="shared" si="14"/>
        <v>4.3902439024390238</v>
      </c>
      <c r="DK9" s="27">
        <f t="shared" si="15"/>
        <v>1.7073170731707319</v>
      </c>
      <c r="DL9" s="27">
        <f t="shared" si="16"/>
        <v>15.609756097560975</v>
      </c>
      <c r="DM9" s="27">
        <f t="shared" si="17"/>
        <v>9.7560975609756095</v>
      </c>
      <c r="DN9" s="27">
        <f t="shared" si="18"/>
        <v>3.9024390243902438</v>
      </c>
      <c r="DO9" s="27">
        <f t="shared" si="19"/>
        <v>5.6097560975609753</v>
      </c>
      <c r="DP9" s="27">
        <f t="shared" si="20"/>
        <v>7.0731707317073162</v>
      </c>
      <c r="DQ9" s="27">
        <f t="shared" si="21"/>
        <v>7.5609756097560972</v>
      </c>
      <c r="DR9" s="27">
        <f t="shared" si="22"/>
        <v>4.3902439024390238</v>
      </c>
      <c r="DS9" s="27">
        <f t="shared" si="23"/>
        <v>9.0243902439024382</v>
      </c>
      <c r="DT9" s="27">
        <f t="shared" si="24"/>
        <v>41.707317073170728</v>
      </c>
      <c r="DU9" s="27"/>
      <c r="DV9" s="27"/>
      <c r="DW9" s="27">
        <f t="shared" si="25"/>
        <v>17.073170731707314</v>
      </c>
      <c r="DX9" s="27">
        <f t="shared" si="57"/>
        <v>14.878048780487804</v>
      </c>
      <c r="DY9" s="27">
        <f t="shared" si="26"/>
        <v>17.560975609756095</v>
      </c>
      <c r="DZ9" s="27">
        <f t="shared" si="27"/>
        <v>4.6341463414634143</v>
      </c>
      <c r="EA9" s="27">
        <f t="shared" si="28"/>
        <v>3.9024390243902438</v>
      </c>
      <c r="EB9" s="27">
        <f t="shared" si="29"/>
        <v>39.756097560975604</v>
      </c>
      <c r="EC9" s="27">
        <f t="shared" si="30"/>
        <v>51.951219512195117</v>
      </c>
      <c r="ED9" s="27">
        <f t="shared" si="31"/>
        <v>20.73170731707317</v>
      </c>
      <c r="EE9" s="27">
        <f t="shared" si="32"/>
        <v>20.487804878048777</v>
      </c>
      <c r="EF9" s="27">
        <f t="shared" si="33"/>
        <v>40.487804878048777</v>
      </c>
      <c r="EG9" s="27">
        <f t="shared" si="34"/>
        <v>12.926829268292684</v>
      </c>
      <c r="EH9" s="27">
        <f t="shared" si="35"/>
        <v>24.390243902439025</v>
      </c>
      <c r="EI9" s="27">
        <f t="shared" si="36"/>
        <v>61.707317073170728</v>
      </c>
      <c r="EJ9" s="27">
        <f t="shared" si="37"/>
        <v>9.5121951219512191</v>
      </c>
      <c r="EK9" s="27">
        <f t="shared" ref="EK9:EK25" si="144">BD9/B9</f>
        <v>16.097560975609756</v>
      </c>
      <c r="EL9" s="27">
        <f t="shared" si="38"/>
        <v>11.951219512195122</v>
      </c>
      <c r="EM9" s="27">
        <f t="shared" si="39"/>
        <v>19.512195121951219</v>
      </c>
      <c r="EN9" s="27">
        <f t="shared" si="40"/>
        <v>25.609756097560975</v>
      </c>
      <c r="EO9" s="27"/>
      <c r="EP9" s="27">
        <f t="shared" si="41"/>
        <v>17.073170731707314</v>
      </c>
      <c r="EQ9" s="27">
        <f t="shared" si="58"/>
        <v>30</v>
      </c>
      <c r="ER9" s="27">
        <f t="shared" si="59"/>
        <v>24.390243902439025</v>
      </c>
      <c r="ES9" s="27">
        <f t="shared" si="60"/>
        <v>27.560975609756095</v>
      </c>
      <c r="ET9" s="27">
        <f t="shared" si="61"/>
        <v>31.219512195121951</v>
      </c>
      <c r="EU9" s="27">
        <f t="shared" si="62"/>
        <v>32.926829268292686</v>
      </c>
      <c r="EV9" s="27">
        <f t="shared" si="63"/>
        <v>19.512195121951219</v>
      </c>
      <c r="EW9" s="27">
        <f t="shared" si="64"/>
        <v>21.95121951219512</v>
      </c>
      <c r="EX9" s="27">
        <f t="shared" si="65"/>
        <v>37.804878048780488</v>
      </c>
      <c r="EY9" s="27">
        <f t="shared" si="66"/>
        <v>27.073170731707318</v>
      </c>
      <c r="EZ9" s="27">
        <f t="shared" si="67"/>
        <v>48.048780487804876</v>
      </c>
      <c r="FA9" s="27">
        <f t="shared" si="68"/>
        <v>38.536585365853661</v>
      </c>
      <c r="FB9" s="27">
        <f t="shared" si="69"/>
        <v>48.048780487804876</v>
      </c>
      <c r="FC9" s="31">
        <f t="shared" ref="FC9:FC15" si="145">BV10/B10</f>
        <v>46.666666666666664</v>
      </c>
      <c r="FD9" s="31">
        <f>BW10/B10</f>
        <v>47.333333333333336</v>
      </c>
      <c r="FE9" s="31">
        <f t="shared" si="137"/>
        <v>46.333333333333329</v>
      </c>
      <c r="FF9" s="31"/>
      <c r="FG9" s="31">
        <f t="shared" si="70"/>
        <v>29.024390243902438</v>
      </c>
      <c r="FH9" s="31">
        <f t="shared" si="42"/>
        <v>14.878048780487804</v>
      </c>
      <c r="FI9" s="31">
        <f t="shared" si="71"/>
        <v>21.95121951219512</v>
      </c>
      <c r="FJ9" s="31">
        <f t="shared" si="43"/>
        <v>0</v>
      </c>
      <c r="FK9" s="31">
        <f t="shared" si="72"/>
        <v>61.219512195121943</v>
      </c>
      <c r="FL9" s="31">
        <f t="shared" si="44"/>
        <v>13.902439024390242</v>
      </c>
      <c r="FM9" s="31">
        <f t="shared" si="45"/>
        <v>12.195121951219512</v>
      </c>
      <c r="FN9" s="31">
        <f t="shared" si="46"/>
        <v>3.1707317073170733</v>
      </c>
      <c r="FO9" s="31">
        <f t="shared" si="47"/>
        <v>29.512195121951219</v>
      </c>
      <c r="FP9" s="31">
        <f t="shared" si="48"/>
        <v>73.170731707317074</v>
      </c>
      <c r="FQ9" s="31">
        <f t="shared" si="49"/>
        <v>91.951219512195124</v>
      </c>
      <c r="FR9" s="31">
        <f t="shared" si="50"/>
        <v>4.5853658536585362</v>
      </c>
      <c r="FS9" s="3">
        <v>0.13200000000000001</v>
      </c>
      <c r="FT9" s="29">
        <f t="shared" si="51"/>
        <v>3.2195121951219514</v>
      </c>
      <c r="FU9" s="34">
        <v>0.09</v>
      </c>
      <c r="FV9" s="34">
        <v>0.05</v>
      </c>
      <c r="FW9" s="34">
        <v>0.14000000000000001</v>
      </c>
      <c r="FX9" s="34">
        <v>0.06</v>
      </c>
      <c r="FY9"/>
      <c r="FZ9" s="34">
        <v>0.03</v>
      </c>
      <c r="GA9" s="34">
        <v>0.03</v>
      </c>
      <c r="GB9" s="34">
        <v>0.04</v>
      </c>
      <c r="GC9" s="34">
        <v>0.05</v>
      </c>
      <c r="GD9" s="34">
        <v>0.04</v>
      </c>
      <c r="GE9" s="34">
        <v>0.03</v>
      </c>
      <c r="GF9" s="3">
        <v>2.8</v>
      </c>
      <c r="GG9" s="3">
        <v>3</v>
      </c>
      <c r="GH9" s="23" t="s">
        <v>21</v>
      </c>
      <c r="GI9" s="23"/>
      <c r="GJ9" s="23"/>
      <c r="GK9" s="23"/>
      <c r="GL9" s="36">
        <v>4.1000000000000002E-2</v>
      </c>
      <c r="GM9" s="37">
        <f t="shared" ref="GM9:GM25" si="146">FU9/GL9</f>
        <v>2.1951219512195119</v>
      </c>
      <c r="GN9" s="37">
        <f t="shared" si="124"/>
        <v>1.2195121951219512</v>
      </c>
      <c r="GO9" s="37">
        <f t="shared" si="125"/>
        <v>3.4146341463414638</v>
      </c>
      <c r="GP9" s="37">
        <f t="shared" si="126"/>
        <v>1.4634146341463414</v>
      </c>
      <c r="GQ9" s="37">
        <f t="shared" si="127"/>
        <v>0</v>
      </c>
      <c r="GR9" s="37">
        <f t="shared" si="128"/>
        <v>0.73170731707317072</v>
      </c>
      <c r="GS9" s="37">
        <f t="shared" si="129"/>
        <v>0.73170731707317072</v>
      </c>
      <c r="GT9" s="37">
        <f t="shared" si="130"/>
        <v>0.97560975609756095</v>
      </c>
      <c r="GU9" s="37">
        <f t="shared" si="131"/>
        <v>1.2195121951219512</v>
      </c>
      <c r="GV9" s="37">
        <f t="shared" si="132"/>
        <v>0.97560975609756095</v>
      </c>
      <c r="GW9" s="37">
        <f>GE9/GL9</f>
        <v>0.73170731707317072</v>
      </c>
      <c r="GX9" s="37">
        <f t="shared" si="73"/>
        <v>68.292682926829258</v>
      </c>
      <c r="GY9" s="37">
        <f t="shared" si="74"/>
        <v>73.170731707317074</v>
      </c>
      <c r="GZ9" s="37"/>
      <c r="HA9" s="50"/>
      <c r="HB9" s="50"/>
      <c r="HC9" s="50"/>
      <c r="HD9" s="23" t="s">
        <v>21</v>
      </c>
      <c r="HE9" s="36">
        <v>4.1000000000000002E-2</v>
      </c>
      <c r="HG9" s="3">
        <f t="shared" si="75"/>
        <v>9.0243902439024382</v>
      </c>
      <c r="HH9" s="3">
        <f t="shared" si="76"/>
        <v>9.0243902439024382</v>
      </c>
      <c r="HI9" s="3">
        <f t="shared" si="77"/>
        <v>19.756097560975611</v>
      </c>
      <c r="HJ9" s="3">
        <f t="shared" si="52"/>
        <v>0.31851851851851848</v>
      </c>
      <c r="HK9" s="3">
        <f t="shared" si="52"/>
        <v>0</v>
      </c>
      <c r="HM9" s="3">
        <f t="shared" si="52"/>
        <v>2.0540540540540539</v>
      </c>
      <c r="HN9" s="3">
        <f t="shared" si="52"/>
        <v>0</v>
      </c>
      <c r="HO9" s="3">
        <f t="shared" si="52"/>
        <v>0.97674418604651159</v>
      </c>
      <c r="HQ9" s="3">
        <f t="shared" si="52"/>
        <v>0.34309623430962338</v>
      </c>
      <c r="HR9" s="3">
        <f t="shared" si="78"/>
        <v>1.6578947368421053</v>
      </c>
      <c r="HT9" s="3">
        <f t="shared" si="80"/>
        <v>1.3214285714285716</v>
      </c>
      <c r="HU9" s="3">
        <f t="shared" si="81"/>
        <v>1.0495049504950495</v>
      </c>
      <c r="HV9" s="36">
        <v>4.1000000000000002E-2</v>
      </c>
      <c r="HW9" s="56"/>
      <c r="HX9" s="23" t="s">
        <v>21</v>
      </c>
      <c r="HZ9" s="63">
        <v>6.4687753127389655E-2</v>
      </c>
      <c r="IA9" s="63">
        <v>0.33714367895350478</v>
      </c>
      <c r="IB9" s="63">
        <v>0.35111758252044356</v>
      </c>
      <c r="IC9" s="63">
        <v>0.20169104646875335</v>
      </c>
      <c r="ID9" s="63">
        <v>1.1827994709805298E-2</v>
      </c>
      <c r="IE9" s="63">
        <v>1.5382544849167403E-2</v>
      </c>
      <c r="IF9" s="63">
        <v>0.21289265757804143</v>
      </c>
      <c r="IG9" s="63">
        <v>1.3836065827475237E-2</v>
      </c>
      <c r="IH9" s="63">
        <v>0.18133448975119329</v>
      </c>
      <c r="II9" s="63">
        <v>1.7307115774363259E-2</v>
      </c>
      <c r="IJ9" s="63">
        <v>0.11883821526347105</v>
      </c>
      <c r="IK9" s="63">
        <v>0.12365120738973842</v>
      </c>
      <c r="IL9" s="63">
        <v>3.660263539005728E-2</v>
      </c>
      <c r="IM9" s="63">
        <v>5.3456403428606816E-2</v>
      </c>
      <c r="IN9" s="63">
        <v>1.9235838326795453E-2</v>
      </c>
      <c r="IO9" s="63">
        <v>0.17755978219360774</v>
      </c>
      <c r="IP9" s="63">
        <v>0.18568112546737262</v>
      </c>
      <c r="IQ9" s="63">
        <v>0.25470417718388261</v>
      </c>
      <c r="IR9" s="63">
        <v>3.2008859872112966E-2</v>
      </c>
      <c r="IS9" s="63">
        <v>0.18455720927282715</v>
      </c>
      <c r="IT9" s="63">
        <v>0.12842036218688135</v>
      </c>
      <c r="IU9" s="63">
        <v>1.9143833549915053E-2</v>
      </c>
      <c r="IW9" s="67">
        <v>6.0910741524101718E-2</v>
      </c>
      <c r="IX9" s="67">
        <v>3.4101652074268032E-2</v>
      </c>
      <c r="IY9" s="67">
        <v>3.1931217416576348E-2</v>
      </c>
      <c r="JA9" s="63">
        <v>7.6729166163451656E-2</v>
      </c>
      <c r="JB9" s="63">
        <v>9.2767262169470455E-2</v>
      </c>
      <c r="JC9" s="63">
        <v>9.1102725873898324E-2</v>
      </c>
      <c r="JD9" s="63">
        <v>0.10857052675658409</v>
      </c>
      <c r="JE9" s="63">
        <v>7.1825337266352207E-2</v>
      </c>
      <c r="JF9" s="63">
        <v>0.10617048919916569</v>
      </c>
      <c r="JG9" s="63">
        <v>0.11354025464224683</v>
      </c>
      <c r="JH9" s="63">
        <v>0.29076803716392641</v>
      </c>
      <c r="JI9" s="63">
        <v>0.18608729086918083</v>
      </c>
      <c r="JJ9" s="63">
        <v>0.20163435671875721</v>
      </c>
      <c r="JK9" s="63">
        <v>0.21118628470405007</v>
      </c>
      <c r="JL9" s="63">
        <v>0.20852374033713733</v>
      </c>
      <c r="JM9" s="63">
        <v>0.21937166967171151</v>
      </c>
      <c r="JN9" s="63">
        <v>0.42854875490749889</v>
      </c>
      <c r="JO9" s="63">
        <v>0.24389971403406108</v>
      </c>
      <c r="JP9" s="63">
        <v>0.32856094689240889</v>
      </c>
      <c r="JQ9" s="63">
        <v>0.25587196199260165</v>
      </c>
      <c r="JS9" s="69"/>
      <c r="JT9" s="69"/>
      <c r="JV9" s="73">
        <f t="shared" si="82"/>
        <v>1.5777500762777963</v>
      </c>
      <c r="JW9" s="73">
        <f t="shared" si="83"/>
        <v>8.2230165598415788</v>
      </c>
      <c r="JX9" s="73">
        <f t="shared" si="84"/>
        <v>8.5638434761083797</v>
      </c>
      <c r="JY9" s="73">
        <f t="shared" si="85"/>
        <v>4.9192938163110576</v>
      </c>
      <c r="JZ9" s="73">
        <f t="shared" si="86"/>
        <v>0.28848767584890966</v>
      </c>
      <c r="KA9" s="73">
        <f t="shared" si="87"/>
        <v>0.37518402071140006</v>
      </c>
      <c r="KB9" s="73">
        <f t="shared" si="88"/>
        <v>5.1925038433668638</v>
      </c>
      <c r="KC9" s="73">
        <f t="shared" si="89"/>
        <v>0.33746502018232283</v>
      </c>
      <c r="KD9" s="73">
        <f t="shared" si="90"/>
        <v>4.4227924329559336</v>
      </c>
      <c r="KE9" s="73">
        <f t="shared" si="91"/>
        <v>0.42212477498446971</v>
      </c>
      <c r="KF9" s="73">
        <f t="shared" si="92"/>
        <v>2.8984930552066106</v>
      </c>
      <c r="KG9" s="73">
        <f t="shared" si="93"/>
        <v>3.0158831070667906</v>
      </c>
      <c r="KH9" s="73">
        <f t="shared" si="94"/>
        <v>0.89274720463554336</v>
      </c>
      <c r="KI9" s="73">
        <f t="shared" si="95"/>
        <v>1.3038147177708979</v>
      </c>
      <c r="KJ9" s="73">
        <f t="shared" si="96"/>
        <v>0.46916678845842569</v>
      </c>
      <c r="KK9" s="73">
        <f t="shared" si="97"/>
        <v>4.3307263949660424</v>
      </c>
      <c r="KL9" s="73">
        <f t="shared" si="98"/>
        <v>4.5288079382286002</v>
      </c>
      <c r="KM9" s="73">
        <f t="shared" si="99"/>
        <v>6.2122970044849417</v>
      </c>
      <c r="KN9" s="73">
        <f t="shared" si="100"/>
        <v>0.78070389931982842</v>
      </c>
      <c r="KO9" s="73">
        <f t="shared" si="101"/>
        <v>4.5013953481177351</v>
      </c>
      <c r="KP9" s="73">
        <f t="shared" si="102"/>
        <v>3.132203955777594</v>
      </c>
      <c r="KQ9" s="73">
        <f t="shared" si="103"/>
        <v>0.46692276951012324</v>
      </c>
      <c r="KS9" s="66">
        <f t="shared" si="104"/>
        <v>1.4856278420512614</v>
      </c>
      <c r="KT9" s="66">
        <f t="shared" si="105"/>
        <v>0.83174761156751298</v>
      </c>
      <c r="KU9" s="66">
        <f t="shared" si="106"/>
        <v>0.77881018089210596</v>
      </c>
      <c r="KW9" s="32">
        <f t="shared" si="107"/>
        <v>1.8714430771573574</v>
      </c>
      <c r="KX9" s="32">
        <f t="shared" si="108"/>
        <v>2.262616150474889</v>
      </c>
      <c r="KY9" s="32">
        <f t="shared" si="109"/>
        <v>2.2220177042414226</v>
      </c>
      <c r="KZ9" s="32">
        <f t="shared" si="110"/>
        <v>2.6480616282093679</v>
      </c>
      <c r="LA9" s="32">
        <f t="shared" si="111"/>
        <v>1.7518374943012733</v>
      </c>
      <c r="LB9" s="32">
        <f t="shared" si="112"/>
        <v>2.5895241268089193</v>
      </c>
      <c r="LC9" s="32">
        <f t="shared" si="113"/>
        <v>2.7692745034694348</v>
      </c>
      <c r="LD9" s="32">
        <f t="shared" si="114"/>
        <v>7.0919033454616196</v>
      </c>
      <c r="LE9" s="32">
        <f t="shared" si="115"/>
        <v>4.5387144114434346</v>
      </c>
      <c r="LF9" s="32">
        <f t="shared" si="116"/>
        <v>4.9179111394818831</v>
      </c>
      <c r="LG9" s="32">
        <f t="shared" si="117"/>
        <v>5.1508849927817089</v>
      </c>
      <c r="LH9" s="32">
        <f t="shared" si="118"/>
        <v>5.0859448862716423</v>
      </c>
      <c r="LI9" s="32">
        <f t="shared" si="119"/>
        <v>5.3505285285783293</v>
      </c>
      <c r="LJ9" s="32">
        <f t="shared" si="120"/>
        <v>10.452408656280459</v>
      </c>
      <c r="LK9" s="32">
        <f t="shared" si="121"/>
        <v>5.9487735130258796</v>
      </c>
      <c r="LL9" s="32">
        <f t="shared" si="122"/>
        <v>8.0136816315221679</v>
      </c>
      <c r="LM9" s="32">
        <f t="shared" si="123"/>
        <v>6.2407795607951622</v>
      </c>
    </row>
    <row r="10" spans="1:325" x14ac:dyDescent="0.3">
      <c r="A10" s="11" t="s">
        <v>85</v>
      </c>
      <c r="B10" s="59">
        <v>0.03</v>
      </c>
      <c r="C10" s="3">
        <v>1.4450000000000001</v>
      </c>
      <c r="D10" s="57">
        <f t="shared" si="0"/>
        <v>48.166666666666671</v>
      </c>
      <c r="E10">
        <v>0.47</v>
      </c>
      <c r="F10">
        <v>0.47</v>
      </c>
      <c r="G10">
        <v>0.76</v>
      </c>
      <c r="H10">
        <v>0.56000000000000005</v>
      </c>
      <c r="I10">
        <v>0.94</v>
      </c>
      <c r="J10">
        <v>1.1399999999999999</v>
      </c>
      <c r="K10">
        <v>1.25</v>
      </c>
      <c r="L10">
        <v>1</v>
      </c>
      <c r="M10">
        <v>1.1299999999999999</v>
      </c>
      <c r="N10">
        <v>1.1100000000000001</v>
      </c>
      <c r="O10">
        <v>0.96</v>
      </c>
      <c r="P10">
        <v>0.91</v>
      </c>
      <c r="Q10">
        <v>0.66</v>
      </c>
      <c r="R10">
        <v>0.82</v>
      </c>
      <c r="S10">
        <v>1.48</v>
      </c>
      <c r="T10">
        <v>1.01</v>
      </c>
      <c r="U10">
        <v>1.29</v>
      </c>
      <c r="V10">
        <v>0.97</v>
      </c>
      <c r="W10">
        <v>1.42</v>
      </c>
      <c r="X10">
        <v>1.32</v>
      </c>
      <c r="Y10">
        <v>1.89</v>
      </c>
      <c r="Z10">
        <v>1.58</v>
      </c>
      <c r="AA10">
        <v>2.2400000000000002</v>
      </c>
      <c r="AB10">
        <v>1.75</v>
      </c>
      <c r="AC10">
        <v>1.64</v>
      </c>
      <c r="AD10">
        <v>1.39</v>
      </c>
      <c r="AE10">
        <v>1.37</v>
      </c>
      <c r="AF10">
        <v>1.52</v>
      </c>
      <c r="AG10">
        <v>1.31</v>
      </c>
      <c r="AH10">
        <v>1.41</v>
      </c>
      <c r="AI10">
        <v>1.4</v>
      </c>
      <c r="AJ10">
        <v>1.92</v>
      </c>
      <c r="AK10">
        <v>1.79</v>
      </c>
      <c r="AL10">
        <v>1.76</v>
      </c>
      <c r="AM10">
        <v>1.54</v>
      </c>
      <c r="AN10">
        <v>2.04</v>
      </c>
      <c r="AO10">
        <v>1.2</v>
      </c>
      <c r="AP10">
        <v>0.97</v>
      </c>
      <c r="AQ10">
        <v>0.83</v>
      </c>
      <c r="AR10">
        <v>1.1100000000000001</v>
      </c>
      <c r="AS10">
        <v>1.02</v>
      </c>
      <c r="AT10">
        <v>1.61</v>
      </c>
      <c r="AU10">
        <v>1.66</v>
      </c>
      <c r="AV10">
        <v>1.83</v>
      </c>
      <c r="AW10">
        <v>1.81</v>
      </c>
      <c r="AX10">
        <v>1.1499999999999999</v>
      </c>
      <c r="AY10">
        <v>1.0900000000000001</v>
      </c>
      <c r="AZ10">
        <v>1.06</v>
      </c>
      <c r="BA10">
        <v>1.31</v>
      </c>
      <c r="BB10">
        <v>1.39</v>
      </c>
      <c r="BC10">
        <v>0.39</v>
      </c>
      <c r="BD10">
        <v>0.46</v>
      </c>
      <c r="BE10">
        <v>0.67</v>
      </c>
      <c r="BF10">
        <v>1.88</v>
      </c>
      <c r="BG10">
        <v>1.84</v>
      </c>
      <c r="BH10">
        <v>1.44</v>
      </c>
      <c r="BI10">
        <v>1.07</v>
      </c>
      <c r="BJ10">
        <v>1.01</v>
      </c>
      <c r="BK10">
        <v>1.1100000000000001</v>
      </c>
      <c r="BL10">
        <v>2.78</v>
      </c>
      <c r="BM10">
        <v>2.38</v>
      </c>
      <c r="BN10">
        <v>1.81</v>
      </c>
      <c r="BO10">
        <v>0.42</v>
      </c>
      <c r="BP10">
        <v>0.48</v>
      </c>
      <c r="BQ10">
        <v>1.02</v>
      </c>
      <c r="BR10">
        <v>0.61</v>
      </c>
      <c r="BS10">
        <v>1.31</v>
      </c>
      <c r="BT10">
        <v>1.47</v>
      </c>
      <c r="BU10">
        <v>1.5</v>
      </c>
      <c r="BV10">
        <v>1.4</v>
      </c>
      <c r="BW10">
        <v>1.42</v>
      </c>
      <c r="BX10">
        <v>1.39</v>
      </c>
      <c r="BY10">
        <v>1.83</v>
      </c>
      <c r="BZ10">
        <v>1.69</v>
      </c>
      <c r="CA10">
        <v>0.85</v>
      </c>
      <c r="CB10">
        <v>0.99</v>
      </c>
      <c r="CC10">
        <v>1</v>
      </c>
      <c r="CD10">
        <v>1.04</v>
      </c>
      <c r="CE10">
        <v>0.53</v>
      </c>
      <c r="CF10">
        <v>0.97</v>
      </c>
      <c r="CG10">
        <v>0.8</v>
      </c>
      <c r="CH10">
        <v>1.71</v>
      </c>
      <c r="CI10" s="3">
        <v>0.82</v>
      </c>
      <c r="CJ10" s="3">
        <v>2.25</v>
      </c>
      <c r="CK10" s="3">
        <v>0.28000000000000003</v>
      </c>
      <c r="CL10" s="27">
        <f t="shared" ref="CL10:CL18" si="147">E10/B10</f>
        <v>15.666666666666666</v>
      </c>
      <c r="CM10" s="27">
        <f t="shared" si="1"/>
        <v>15.666666666666666</v>
      </c>
      <c r="CN10" s="27">
        <f t="shared" si="138"/>
        <v>25.333333333333336</v>
      </c>
      <c r="CO10" s="27">
        <f t="shared" si="139"/>
        <v>18.666666666666668</v>
      </c>
      <c r="CP10" s="27">
        <f t="shared" ref="CP10:CP18" si="148">I10/B10</f>
        <v>31.333333333333332</v>
      </c>
      <c r="CQ10" s="27">
        <f t="shared" si="140"/>
        <v>38</v>
      </c>
      <c r="CR10" s="27">
        <f t="shared" si="2"/>
        <v>41.666666666666671</v>
      </c>
      <c r="CS10" s="27">
        <f t="shared" si="55"/>
        <v>37.666666666666664</v>
      </c>
      <c r="CT10" s="27">
        <f t="shared" si="3"/>
        <v>37.666666666666664</v>
      </c>
      <c r="CU10" s="27">
        <f t="shared" si="141"/>
        <v>37.000000000000007</v>
      </c>
      <c r="CV10" s="27">
        <f t="shared" si="4"/>
        <v>32</v>
      </c>
      <c r="CW10" s="27">
        <f>P10/B10</f>
        <v>30.333333333333336</v>
      </c>
      <c r="CX10" s="27">
        <f t="shared" si="142"/>
        <v>22.000000000000004</v>
      </c>
      <c r="CY10" s="27">
        <f t="shared" si="143"/>
        <v>27.333333333333332</v>
      </c>
      <c r="CZ10" s="27">
        <f t="shared" si="5"/>
        <v>49.333333333333336</v>
      </c>
      <c r="DA10" s="27">
        <f t="shared" si="6"/>
        <v>33.666666666666671</v>
      </c>
      <c r="DB10" s="27">
        <f t="shared" si="7"/>
        <v>43</v>
      </c>
      <c r="DC10" s="27">
        <f t="shared" si="8"/>
        <v>32.333333333333336</v>
      </c>
      <c r="DD10" s="27">
        <f t="shared" si="9"/>
        <v>47.333333333333336</v>
      </c>
      <c r="DE10" s="27">
        <f t="shared" si="10"/>
        <v>44.000000000000007</v>
      </c>
      <c r="DF10" s="27">
        <f t="shared" si="11"/>
        <v>63</v>
      </c>
      <c r="DG10" s="27">
        <f t="shared" si="12"/>
        <v>52.666666666666671</v>
      </c>
      <c r="DH10" s="27">
        <f t="shared" si="56"/>
        <v>74.666666666666671</v>
      </c>
      <c r="DI10" s="27">
        <f t="shared" si="13"/>
        <v>58.333333333333336</v>
      </c>
      <c r="DJ10" s="27">
        <f t="shared" si="14"/>
        <v>54.666666666666664</v>
      </c>
      <c r="DK10" s="27">
        <f t="shared" si="15"/>
        <v>46.333333333333329</v>
      </c>
      <c r="DL10" s="27">
        <f t="shared" si="16"/>
        <v>45.666666666666671</v>
      </c>
      <c r="DM10" s="27">
        <f t="shared" si="17"/>
        <v>50.666666666666671</v>
      </c>
      <c r="DN10" s="27">
        <f t="shared" si="18"/>
        <v>43.666666666666671</v>
      </c>
      <c r="DO10" s="27">
        <f t="shared" si="19"/>
        <v>47</v>
      </c>
      <c r="DP10" s="27">
        <f t="shared" si="20"/>
        <v>46.666666666666664</v>
      </c>
      <c r="DQ10" s="27">
        <f t="shared" si="21"/>
        <v>64</v>
      </c>
      <c r="DR10" s="27">
        <f t="shared" si="22"/>
        <v>59.666666666666671</v>
      </c>
      <c r="DS10" s="27">
        <f t="shared" si="23"/>
        <v>58.666666666666671</v>
      </c>
      <c r="DT10" s="27">
        <f t="shared" si="24"/>
        <v>51.333333333333336</v>
      </c>
      <c r="DU10" s="27">
        <f>AN10/B10</f>
        <v>68</v>
      </c>
      <c r="DV10" s="27">
        <f>AO10/B10</f>
        <v>40</v>
      </c>
      <c r="DW10" s="27">
        <f t="shared" si="25"/>
        <v>32.333333333333336</v>
      </c>
      <c r="DX10" s="27">
        <f t="shared" si="57"/>
        <v>27.666666666666668</v>
      </c>
      <c r="DY10" s="27">
        <f t="shared" si="26"/>
        <v>37.000000000000007</v>
      </c>
      <c r="DZ10" s="27">
        <f t="shared" si="27"/>
        <v>34</v>
      </c>
      <c r="EA10" s="27">
        <f t="shared" si="28"/>
        <v>53.666666666666671</v>
      </c>
      <c r="EB10" s="27">
        <f t="shared" si="29"/>
        <v>55.333333333333336</v>
      </c>
      <c r="EC10" s="27">
        <f t="shared" si="30"/>
        <v>61.000000000000007</v>
      </c>
      <c r="ED10" s="27">
        <f t="shared" si="31"/>
        <v>60.333333333333336</v>
      </c>
      <c r="EE10" s="27">
        <f t="shared" si="32"/>
        <v>38.333333333333329</v>
      </c>
      <c r="EF10" s="27">
        <f t="shared" si="33"/>
        <v>36.333333333333336</v>
      </c>
      <c r="EG10" s="27">
        <f t="shared" si="34"/>
        <v>35.333333333333336</v>
      </c>
      <c r="EH10" s="27">
        <f t="shared" si="35"/>
        <v>43.666666666666671</v>
      </c>
      <c r="EI10" s="27">
        <f t="shared" si="36"/>
        <v>46.333333333333329</v>
      </c>
      <c r="EJ10" s="27">
        <f t="shared" si="37"/>
        <v>13.000000000000002</v>
      </c>
      <c r="EK10" s="27">
        <f t="shared" si="144"/>
        <v>15.333333333333334</v>
      </c>
      <c r="EL10" s="27">
        <f t="shared" si="38"/>
        <v>22.333333333333336</v>
      </c>
      <c r="EM10" s="27">
        <f t="shared" si="39"/>
        <v>62.666666666666664</v>
      </c>
      <c r="EN10" s="27">
        <f t="shared" si="40"/>
        <v>61.333333333333336</v>
      </c>
      <c r="EO10" s="27">
        <f t="shared" ref="EO10:EO18" si="149">BH10/B10</f>
        <v>48</v>
      </c>
      <c r="EP10" s="27">
        <f t="shared" si="41"/>
        <v>35.666666666666671</v>
      </c>
      <c r="EQ10" s="27">
        <f t="shared" si="58"/>
        <v>33.666666666666671</v>
      </c>
      <c r="ER10" s="27">
        <f t="shared" si="59"/>
        <v>37.000000000000007</v>
      </c>
      <c r="ES10" s="27">
        <f t="shared" si="60"/>
        <v>92.666666666666657</v>
      </c>
      <c r="ET10" s="27">
        <f t="shared" si="61"/>
        <v>79.333333333333329</v>
      </c>
      <c r="EU10" s="27">
        <f t="shared" si="62"/>
        <v>60.333333333333336</v>
      </c>
      <c r="EV10" s="27">
        <f t="shared" si="63"/>
        <v>14</v>
      </c>
      <c r="EW10" s="27">
        <f t="shared" si="64"/>
        <v>16</v>
      </c>
      <c r="EX10" s="27">
        <f t="shared" si="65"/>
        <v>34</v>
      </c>
      <c r="EY10" s="27">
        <f t="shared" si="66"/>
        <v>20.333333333333332</v>
      </c>
      <c r="EZ10" s="27">
        <f t="shared" si="67"/>
        <v>43.666666666666671</v>
      </c>
      <c r="FA10" s="27">
        <f t="shared" si="68"/>
        <v>49</v>
      </c>
      <c r="FB10" s="27">
        <f t="shared" si="69"/>
        <v>50</v>
      </c>
      <c r="FC10" s="31">
        <f t="shared" si="145"/>
        <v>43.668122270742352</v>
      </c>
      <c r="FD10" s="31">
        <f>BW11/B11</f>
        <v>40.320232896652108</v>
      </c>
      <c r="FE10" s="31">
        <f t="shared" si="137"/>
        <v>40.756914119359529</v>
      </c>
      <c r="FF10" s="31">
        <f t="shared" ref="FF10:FF15" si="150">BY10/B10</f>
        <v>61.000000000000007</v>
      </c>
      <c r="FG10" s="31">
        <f t="shared" si="70"/>
        <v>56.333333333333336</v>
      </c>
      <c r="FH10" s="31">
        <f t="shared" si="42"/>
        <v>28.333333333333332</v>
      </c>
      <c r="FI10" s="31">
        <f t="shared" si="71"/>
        <v>33</v>
      </c>
      <c r="FJ10" s="31">
        <f t="shared" si="43"/>
        <v>33.333333333333336</v>
      </c>
      <c r="FK10" s="31">
        <f t="shared" si="72"/>
        <v>34.666666666666671</v>
      </c>
      <c r="FL10" s="31">
        <f t="shared" si="44"/>
        <v>17.666666666666668</v>
      </c>
      <c r="FM10" s="31">
        <f t="shared" si="45"/>
        <v>32.333333333333336</v>
      </c>
      <c r="FN10" s="31">
        <f t="shared" si="46"/>
        <v>26.666666666666668</v>
      </c>
      <c r="FO10" s="31">
        <f t="shared" si="47"/>
        <v>57</v>
      </c>
      <c r="FP10" s="31">
        <f t="shared" si="48"/>
        <v>27.333333333333332</v>
      </c>
      <c r="FQ10" s="31">
        <f t="shared" si="49"/>
        <v>75</v>
      </c>
      <c r="FR10" s="31">
        <f t="shared" si="50"/>
        <v>9.3333333333333339</v>
      </c>
      <c r="FS10" s="3">
        <v>600</v>
      </c>
      <c r="FT10" s="29"/>
      <c r="FU10" s="34">
        <v>0.03</v>
      </c>
      <c r="FV10" s="34">
        <v>0.02</v>
      </c>
      <c r="FW10" s="34">
        <v>0.1</v>
      </c>
      <c r="FX10" s="34">
        <v>0.13</v>
      </c>
      <c r="FY10" s="34">
        <v>0.01</v>
      </c>
      <c r="FZ10" s="34">
        <v>0.05</v>
      </c>
      <c r="GA10" s="34">
        <v>0.05</v>
      </c>
      <c r="GB10" s="34">
        <v>7.0000000000000007E-2</v>
      </c>
      <c r="GC10" s="34">
        <v>0.03</v>
      </c>
      <c r="GD10" s="34">
        <v>0.03</v>
      </c>
      <c r="GE10" s="34">
        <v>0.04</v>
      </c>
      <c r="GH10" s="24" t="s">
        <v>85</v>
      </c>
      <c r="GI10" s="24">
        <v>2.0299999999999998</v>
      </c>
      <c r="GJ10" s="24">
        <v>0.18</v>
      </c>
      <c r="GK10" s="24">
        <v>0.13</v>
      </c>
      <c r="GL10" s="36">
        <v>0.03</v>
      </c>
      <c r="GM10" s="37">
        <f>FU10/GL10</f>
        <v>1</v>
      </c>
      <c r="GN10" s="37">
        <f>FV10/GL10</f>
        <v>0.66666666666666674</v>
      </c>
      <c r="GO10" s="37">
        <f>FW10/GL10</f>
        <v>3.3333333333333335</v>
      </c>
      <c r="GP10" s="37">
        <f>FX9/GL10</f>
        <v>2</v>
      </c>
      <c r="GQ10" s="37">
        <f>FY10/GL10</f>
        <v>0.33333333333333337</v>
      </c>
      <c r="GR10" s="37">
        <f>FZ10/GL10</f>
        <v>1.6666666666666667</v>
      </c>
      <c r="GS10" s="37">
        <f>GA10/GL10</f>
        <v>1.6666666666666667</v>
      </c>
      <c r="GT10" s="37">
        <f>GB10/GL10</f>
        <v>2.3333333333333335</v>
      </c>
      <c r="GU10" s="37">
        <f t="shared" si="131"/>
        <v>1</v>
      </c>
      <c r="GV10" s="37">
        <f t="shared" si="132"/>
        <v>1</v>
      </c>
      <c r="GW10" s="37">
        <f>GE10/GL10</f>
        <v>1.3333333333333335</v>
      </c>
      <c r="GX10" s="37"/>
      <c r="GY10" s="37"/>
      <c r="GZ10" s="37"/>
      <c r="HA10" s="50"/>
      <c r="HB10" s="50">
        <f t="shared" si="135"/>
        <v>6</v>
      </c>
      <c r="HC10" s="50">
        <f t="shared" si="136"/>
        <v>4.3333333333333339</v>
      </c>
      <c r="HD10" s="24" t="s">
        <v>85</v>
      </c>
      <c r="HE10" s="36">
        <v>0.03</v>
      </c>
      <c r="HG10" s="3">
        <f t="shared" si="75"/>
        <v>15.666666666666666</v>
      </c>
      <c r="HH10" s="3">
        <f t="shared" si="76"/>
        <v>15.666666666666666</v>
      </c>
      <c r="HI10" s="3">
        <f t="shared" si="77"/>
        <v>25.333333333333336</v>
      </c>
      <c r="HJ10" s="3">
        <f t="shared" si="52"/>
        <v>0.38754325259515571</v>
      </c>
      <c r="HK10" s="3">
        <f t="shared" si="52"/>
        <v>1.9515570934256054E-2</v>
      </c>
      <c r="HL10" s="3">
        <f t="shared" si="52"/>
        <v>2.4255319148936167</v>
      </c>
      <c r="HM10" s="3">
        <f t="shared" si="52"/>
        <v>2.6595744680851063</v>
      </c>
      <c r="HN10" s="3">
        <f t="shared" si="52"/>
        <v>1.3157894736842106</v>
      </c>
      <c r="HO10" s="3">
        <f t="shared" si="52"/>
        <v>2.0178571428571423</v>
      </c>
      <c r="HP10" s="3">
        <f t="shared" si="52"/>
        <v>1.1808510638297873</v>
      </c>
      <c r="HQ10" s="3">
        <f t="shared" si="52"/>
        <v>0.8421052631578948</v>
      </c>
      <c r="HR10" s="3">
        <f t="shared" si="78"/>
        <v>0.72799999999999998</v>
      </c>
      <c r="HS10" s="3">
        <f t="shared" si="79"/>
        <v>0.66</v>
      </c>
      <c r="HT10" s="3">
        <f t="shared" si="80"/>
        <v>0.72566371681415931</v>
      </c>
      <c r="HU10" s="3">
        <f t="shared" si="81"/>
        <v>1.3333333333333333</v>
      </c>
      <c r="HV10" s="36">
        <v>0.03</v>
      </c>
      <c r="HW10" s="56"/>
      <c r="HX10" s="24" t="s">
        <v>85</v>
      </c>
      <c r="HZ10" s="63">
        <v>4.9263143069349542E-2</v>
      </c>
      <c r="IA10" s="63">
        <v>0.24307159781597484</v>
      </c>
      <c r="IB10" s="63">
        <v>0.2328217237808414</v>
      </c>
      <c r="IC10" s="63">
        <v>0.21992367940450638</v>
      </c>
      <c r="ID10" s="63">
        <v>4.0701919148944513E-2</v>
      </c>
      <c r="IE10" s="63">
        <v>2.8531193191289772E-2</v>
      </c>
      <c r="IF10" s="63">
        <v>0.15960789513841619</v>
      </c>
      <c r="IG10" s="63">
        <v>4.4630621903988907E-2</v>
      </c>
      <c r="IH10" s="63">
        <v>0.14876085257774349</v>
      </c>
      <c r="II10" s="63">
        <v>4.6396735743287967E-2</v>
      </c>
      <c r="IJ10" s="63">
        <v>0.14034303342964011</v>
      </c>
      <c r="IK10" s="63">
        <v>0.1333566603100296</v>
      </c>
      <c r="IL10" s="63">
        <v>4.2252287212808264E-2</v>
      </c>
      <c r="IM10" s="63">
        <v>2.0326679447351656E-2</v>
      </c>
      <c r="IN10" s="63">
        <v>3.1029692048544232E-2</v>
      </c>
      <c r="IO10" s="63">
        <v>0.10973884625903854</v>
      </c>
      <c r="IP10" s="63">
        <v>0.18584943258699407</v>
      </c>
      <c r="IQ10" s="63">
        <v>0.23056540926955749</v>
      </c>
      <c r="IR10" s="63">
        <v>4.7565556327971291E-2</v>
      </c>
      <c r="IS10" s="63">
        <v>0.2005791702488916</v>
      </c>
      <c r="IT10" s="63">
        <v>1.0315997613907587E-2</v>
      </c>
      <c r="IU10" s="63">
        <v>1.21553763943091E-2</v>
      </c>
      <c r="IV10" s="63"/>
      <c r="IW10" s="67">
        <v>5.0664070368410072E-2</v>
      </c>
      <c r="IX10" s="67">
        <v>2.5011588836329875E-2</v>
      </c>
      <c r="IY10" s="67">
        <v>4.5466635779558617E-2</v>
      </c>
      <c r="JA10" s="63">
        <v>4.5434134565861685E-2</v>
      </c>
      <c r="JB10" s="63">
        <v>9.7904124679880966E-2</v>
      </c>
      <c r="JC10" s="63">
        <v>0.1052764163893295</v>
      </c>
      <c r="JD10" s="63">
        <v>0.15248339779953882</v>
      </c>
      <c r="JE10" s="63"/>
      <c r="JF10" s="63">
        <v>0.10247194657161472</v>
      </c>
      <c r="JG10" s="63">
        <v>0.18574876491210607</v>
      </c>
      <c r="JH10" s="63">
        <v>0.42438850838375886</v>
      </c>
      <c r="JI10" s="63">
        <v>0.22870518574899446</v>
      </c>
      <c r="JJ10" s="63">
        <v>0.28624517864239174</v>
      </c>
      <c r="JK10" s="63">
        <v>0.30030712704413665</v>
      </c>
      <c r="JL10" s="63">
        <v>0.25894591139389561</v>
      </c>
      <c r="JM10" s="63">
        <v>0.27342495838549119</v>
      </c>
      <c r="JN10" s="63">
        <v>0.58155374474850863</v>
      </c>
      <c r="JO10" s="63">
        <v>0.31081257769510862</v>
      </c>
      <c r="JP10" s="63">
        <v>0.43187317828845995</v>
      </c>
      <c r="JQ10" s="63">
        <v>0.5</v>
      </c>
      <c r="JS10" s="69"/>
      <c r="JT10" s="69"/>
      <c r="JV10" s="73">
        <f t="shared" si="82"/>
        <v>1.6421047689783181</v>
      </c>
      <c r="JW10" s="73">
        <f t="shared" si="83"/>
        <v>8.1023865938658286</v>
      </c>
      <c r="JX10" s="73">
        <f t="shared" si="84"/>
        <v>7.7607241260280473</v>
      </c>
      <c r="JY10" s="73">
        <f t="shared" si="85"/>
        <v>7.330789313483546</v>
      </c>
      <c r="JZ10" s="73">
        <f t="shared" si="86"/>
        <v>1.3567306382981505</v>
      </c>
      <c r="KA10" s="73">
        <f t="shared" si="87"/>
        <v>0.95103977304299248</v>
      </c>
      <c r="KB10" s="73">
        <f t="shared" si="88"/>
        <v>5.3202631712805397</v>
      </c>
      <c r="KC10" s="73">
        <f t="shared" si="89"/>
        <v>1.4876873967996302</v>
      </c>
      <c r="KD10" s="73">
        <f t="shared" si="90"/>
        <v>4.9586950859247834</v>
      </c>
      <c r="KE10" s="73">
        <f t="shared" si="91"/>
        <v>1.5465578581095989</v>
      </c>
      <c r="KF10" s="73">
        <f t="shared" si="92"/>
        <v>4.6781011143213371</v>
      </c>
      <c r="KG10" s="73">
        <f t="shared" si="93"/>
        <v>4.4452220103343203</v>
      </c>
      <c r="KH10" s="73">
        <f t="shared" si="94"/>
        <v>1.4084095737602755</v>
      </c>
      <c r="KI10" s="73">
        <f t="shared" si="95"/>
        <v>0.67755598157838859</v>
      </c>
      <c r="KJ10" s="73">
        <f t="shared" si="96"/>
        <v>1.0343230682848077</v>
      </c>
      <c r="KK10" s="73">
        <f t="shared" si="97"/>
        <v>3.6579615419679516</v>
      </c>
      <c r="KL10" s="73">
        <f t="shared" si="98"/>
        <v>6.1949810862331356</v>
      </c>
      <c r="KM10" s="73">
        <f t="shared" si="99"/>
        <v>7.6855136423185835</v>
      </c>
      <c r="KN10" s="73">
        <f t="shared" si="100"/>
        <v>1.5855185442657098</v>
      </c>
      <c r="KO10" s="73">
        <f t="shared" si="101"/>
        <v>6.6859723416297205</v>
      </c>
      <c r="KP10" s="73">
        <f t="shared" si="102"/>
        <v>0.34386658713025292</v>
      </c>
      <c r="KQ10" s="73">
        <f t="shared" si="103"/>
        <v>0.4051792131436367</v>
      </c>
      <c r="KS10" s="66">
        <f t="shared" si="104"/>
        <v>1.6888023456136692</v>
      </c>
      <c r="KT10" s="66">
        <f t="shared" si="105"/>
        <v>0.83371962787766252</v>
      </c>
      <c r="KU10" s="66">
        <f t="shared" si="106"/>
        <v>1.5155545259852874</v>
      </c>
      <c r="KW10" s="32">
        <f t="shared" si="107"/>
        <v>1.5144711521953895</v>
      </c>
      <c r="KX10" s="32">
        <f t="shared" si="108"/>
        <v>3.2634708226626992</v>
      </c>
      <c r="KY10" s="32">
        <f t="shared" si="109"/>
        <v>3.5092138796443169</v>
      </c>
      <c r="KZ10" s="32">
        <f t="shared" si="110"/>
        <v>5.0827799266512939</v>
      </c>
      <c r="LA10" s="32"/>
      <c r="LB10" s="32">
        <f t="shared" si="112"/>
        <v>3.4157315523871574</v>
      </c>
      <c r="LC10" s="32">
        <f t="shared" si="113"/>
        <v>6.1916254970702029</v>
      </c>
      <c r="LD10" s="32">
        <f t="shared" si="114"/>
        <v>14.146283612791962</v>
      </c>
      <c r="LE10" s="32">
        <f t="shared" si="115"/>
        <v>7.6235061916331484</v>
      </c>
      <c r="LF10" s="32">
        <f t="shared" si="116"/>
        <v>9.5415059547463912</v>
      </c>
      <c r="LG10" s="32">
        <f t="shared" si="117"/>
        <v>10.010237568137889</v>
      </c>
      <c r="LH10" s="32">
        <f t="shared" si="118"/>
        <v>8.631530379796521</v>
      </c>
      <c r="LI10" s="32">
        <f t="shared" si="119"/>
        <v>9.1141652795163726</v>
      </c>
      <c r="LJ10" s="32">
        <f t="shared" si="120"/>
        <v>19.385124824950289</v>
      </c>
      <c r="LK10" s="32">
        <f t="shared" si="121"/>
        <v>10.36041925650362</v>
      </c>
      <c r="LL10" s="32">
        <f t="shared" si="122"/>
        <v>14.395772609615332</v>
      </c>
      <c r="LM10" s="32">
        <f t="shared" si="123"/>
        <v>16.666666666666668</v>
      </c>
    </row>
    <row r="11" spans="1:325" x14ac:dyDescent="0.3">
      <c r="A11" s="11" t="s">
        <v>12</v>
      </c>
      <c r="B11" s="59">
        <v>0.68700000000000006</v>
      </c>
      <c r="C11" s="3">
        <v>37</v>
      </c>
      <c r="D11" s="57">
        <f t="shared" si="0"/>
        <v>53.857350800582239</v>
      </c>
      <c r="E11">
        <v>10.5</v>
      </c>
      <c r="F11">
        <v>10.1</v>
      </c>
      <c r="G11">
        <v>17.2</v>
      </c>
      <c r="H11">
        <v>12.7</v>
      </c>
      <c r="I11">
        <v>19.3</v>
      </c>
      <c r="J11">
        <v>21.7</v>
      </c>
      <c r="K11">
        <v>23</v>
      </c>
      <c r="L11">
        <v>17.100000000000001</v>
      </c>
      <c r="M11">
        <v>25.3</v>
      </c>
      <c r="N11">
        <v>21.2</v>
      </c>
      <c r="O11">
        <v>16.8</v>
      </c>
      <c r="P11">
        <v>17.399999999999999</v>
      </c>
      <c r="Q11">
        <v>13.1</v>
      </c>
      <c r="R11">
        <v>17.3</v>
      </c>
      <c r="S11">
        <v>22.8</v>
      </c>
      <c r="T11">
        <v>20.6</v>
      </c>
      <c r="U11">
        <v>21.4</v>
      </c>
      <c r="V11">
        <v>16.8</v>
      </c>
      <c r="W11">
        <v>22.6</v>
      </c>
      <c r="X11">
        <v>20.8</v>
      </c>
      <c r="Y11">
        <v>26.2</v>
      </c>
      <c r="Z11">
        <v>21.9</v>
      </c>
      <c r="AA11">
        <v>25</v>
      </c>
      <c r="AB11">
        <v>22.5</v>
      </c>
      <c r="AC11">
        <v>22.1</v>
      </c>
      <c r="AD11">
        <v>18.8</v>
      </c>
      <c r="AE11">
        <v>19.2</v>
      </c>
      <c r="AF11">
        <v>22.1</v>
      </c>
      <c r="AG11">
        <v>19.600000000000001</v>
      </c>
      <c r="AH11">
        <v>21.9</v>
      </c>
      <c r="AI11">
        <v>20.5</v>
      </c>
      <c r="AJ11">
        <v>28.7</v>
      </c>
      <c r="AK11">
        <v>29.1</v>
      </c>
      <c r="AL11">
        <v>24.4</v>
      </c>
      <c r="AM11">
        <v>24.9</v>
      </c>
      <c r="AN11"/>
      <c r="AO11"/>
      <c r="AP11">
        <v>16.7</v>
      </c>
      <c r="AQ11">
        <v>15.8</v>
      </c>
      <c r="AR11">
        <v>16</v>
      </c>
      <c r="AS11">
        <v>21.7</v>
      </c>
      <c r="AT11">
        <v>25.9</v>
      </c>
      <c r="AU11">
        <v>22.33</v>
      </c>
      <c r="AV11">
        <v>26.1</v>
      </c>
      <c r="AW11">
        <v>26.5</v>
      </c>
      <c r="AX11">
        <v>18.3</v>
      </c>
      <c r="AY11">
        <v>18.600000000000001</v>
      </c>
      <c r="AZ11">
        <v>17.600000000000001</v>
      </c>
      <c r="BA11">
        <v>23.3</v>
      </c>
      <c r="BB11">
        <v>21.3</v>
      </c>
      <c r="BC11">
        <v>10.5</v>
      </c>
      <c r="BD11">
        <v>12.7</v>
      </c>
      <c r="BE11">
        <v>14.2</v>
      </c>
      <c r="BF11">
        <v>38.6</v>
      </c>
      <c r="BG11">
        <v>38.9</v>
      </c>
      <c r="BH11">
        <v>26.2</v>
      </c>
      <c r="BI11">
        <v>27</v>
      </c>
      <c r="BJ11">
        <v>24.9</v>
      </c>
      <c r="BK11">
        <v>26.2</v>
      </c>
      <c r="BL11">
        <v>46.03</v>
      </c>
      <c r="BM11">
        <v>44.67</v>
      </c>
      <c r="BN11">
        <v>45.62</v>
      </c>
      <c r="BO11">
        <v>12.8</v>
      </c>
      <c r="BP11">
        <v>18.68</v>
      </c>
      <c r="BQ11">
        <v>28.12</v>
      </c>
      <c r="BR11">
        <v>18.21</v>
      </c>
      <c r="BS11">
        <v>35.869999999999997</v>
      </c>
      <c r="BT11">
        <v>30.39</v>
      </c>
      <c r="BU11">
        <v>36.07</v>
      </c>
      <c r="BV11">
        <v>30</v>
      </c>
      <c r="BW11">
        <v>27.7</v>
      </c>
      <c r="BX11">
        <v>28</v>
      </c>
      <c r="BY11">
        <v>43</v>
      </c>
      <c r="BZ11">
        <v>36.5</v>
      </c>
      <c r="CA11">
        <v>13.8</v>
      </c>
      <c r="CB11">
        <v>17.8</v>
      </c>
      <c r="CC11">
        <v>20.100000000000001</v>
      </c>
      <c r="CD11">
        <v>97</v>
      </c>
      <c r="CE11">
        <v>23</v>
      </c>
      <c r="CF11">
        <v>18.2</v>
      </c>
      <c r="CG11">
        <v>7.53</v>
      </c>
      <c r="CH11">
        <v>26.3</v>
      </c>
      <c r="CI11" s="3">
        <v>20.82</v>
      </c>
      <c r="CJ11" s="3">
        <v>40.9</v>
      </c>
      <c r="CK11" s="3">
        <v>4.4800000000000004</v>
      </c>
      <c r="CL11" s="27">
        <f t="shared" si="147"/>
        <v>15.283842794759824</v>
      </c>
      <c r="CM11" s="27">
        <f t="shared" si="1"/>
        <v>14.701601164483259</v>
      </c>
      <c r="CN11" s="27">
        <f t="shared" si="138"/>
        <v>25.036390101892284</v>
      </c>
      <c r="CO11" s="27">
        <f t="shared" si="139"/>
        <v>18.486171761280929</v>
      </c>
      <c r="CP11" s="27">
        <f t="shared" si="148"/>
        <v>28.093158660844249</v>
      </c>
      <c r="CQ11" s="27">
        <f t="shared" si="140"/>
        <v>31.586608442503636</v>
      </c>
      <c r="CR11" s="27">
        <f t="shared" si="2"/>
        <v>33.478893740902471</v>
      </c>
      <c r="CS11" s="27">
        <f t="shared" si="55"/>
        <v>36.826783114992722</v>
      </c>
      <c r="CT11" s="27">
        <f t="shared" si="3"/>
        <v>36.826783114992722</v>
      </c>
      <c r="CU11" s="27">
        <f t="shared" si="141"/>
        <v>30.85880640465793</v>
      </c>
      <c r="CV11" s="27">
        <f t="shared" si="4"/>
        <v>24.454148471615721</v>
      </c>
      <c r="CW11" s="27">
        <f>P11/B11</f>
        <v>25.327510917030562</v>
      </c>
      <c r="CX11" s="27">
        <f t="shared" si="142"/>
        <v>19.068413391557495</v>
      </c>
      <c r="CY11" s="27">
        <f t="shared" si="143"/>
        <v>25.181950509461426</v>
      </c>
      <c r="CZ11" s="27">
        <f t="shared" si="5"/>
        <v>33.187772925764193</v>
      </c>
      <c r="DA11" s="27">
        <f t="shared" si="6"/>
        <v>29.985443959243085</v>
      </c>
      <c r="DB11" s="27">
        <f t="shared" si="7"/>
        <v>31.149927219796211</v>
      </c>
      <c r="DC11" s="27">
        <f t="shared" si="8"/>
        <v>24.454148471615721</v>
      </c>
      <c r="DD11" s="27">
        <f t="shared" si="9"/>
        <v>32.896652110625908</v>
      </c>
      <c r="DE11" s="27">
        <f t="shared" si="10"/>
        <v>30.276564774381367</v>
      </c>
      <c r="DF11" s="27">
        <f t="shared" si="11"/>
        <v>38.136826783114991</v>
      </c>
      <c r="DG11" s="27">
        <f t="shared" si="12"/>
        <v>31.877729257641917</v>
      </c>
      <c r="DH11" s="27">
        <f t="shared" si="56"/>
        <v>36.390101892285294</v>
      </c>
      <c r="DI11" s="27">
        <f t="shared" si="13"/>
        <v>32.751091703056765</v>
      </c>
      <c r="DJ11" s="27">
        <f t="shared" si="14"/>
        <v>32.168850072780202</v>
      </c>
      <c r="DK11" s="27">
        <f t="shared" si="15"/>
        <v>27.365356622998544</v>
      </c>
      <c r="DL11" s="27">
        <f t="shared" si="16"/>
        <v>27.947598253275107</v>
      </c>
      <c r="DM11" s="27">
        <f t="shared" si="17"/>
        <v>32.168850072780202</v>
      </c>
      <c r="DN11" s="27">
        <f t="shared" si="18"/>
        <v>28.529839883551674</v>
      </c>
      <c r="DO11" s="27">
        <f t="shared" si="19"/>
        <v>31.877729257641917</v>
      </c>
      <c r="DP11" s="27">
        <f t="shared" si="20"/>
        <v>29.839883551673942</v>
      </c>
      <c r="DQ11" s="27">
        <f t="shared" si="21"/>
        <v>41.775836972343519</v>
      </c>
      <c r="DR11" s="27">
        <f t="shared" si="22"/>
        <v>42.358078602620083</v>
      </c>
      <c r="DS11" s="27">
        <f t="shared" si="23"/>
        <v>35.516739446870446</v>
      </c>
      <c r="DT11" s="27">
        <f t="shared" si="24"/>
        <v>36.244541484716152</v>
      </c>
      <c r="DU11" s="27"/>
      <c r="DV11" s="27"/>
      <c r="DW11" s="27">
        <f t="shared" si="25"/>
        <v>24.308588064046575</v>
      </c>
      <c r="DX11" s="27">
        <f t="shared" si="57"/>
        <v>22.998544395924309</v>
      </c>
      <c r="DY11" s="27">
        <f t="shared" si="26"/>
        <v>23.289665211062591</v>
      </c>
      <c r="DZ11" s="27">
        <f t="shared" si="27"/>
        <v>31.586608442503636</v>
      </c>
      <c r="EA11" s="27">
        <f t="shared" si="28"/>
        <v>37.700145560407563</v>
      </c>
      <c r="EB11" s="27">
        <f t="shared" si="29"/>
        <v>32.503639010189225</v>
      </c>
      <c r="EC11" s="27">
        <f t="shared" si="30"/>
        <v>37.991266375545848</v>
      </c>
      <c r="ED11" s="27">
        <f t="shared" si="31"/>
        <v>38.573508005822411</v>
      </c>
      <c r="EE11" s="27">
        <f t="shared" si="32"/>
        <v>26.637554585152838</v>
      </c>
      <c r="EF11" s="27">
        <f t="shared" si="33"/>
        <v>27.074235807860262</v>
      </c>
      <c r="EG11" s="27">
        <f t="shared" si="34"/>
        <v>25.618631732168851</v>
      </c>
      <c r="EH11" s="27">
        <f t="shared" si="35"/>
        <v>33.915574963609899</v>
      </c>
      <c r="EI11" s="27">
        <f t="shared" si="36"/>
        <v>31.004366812227072</v>
      </c>
      <c r="EJ11" s="27">
        <f t="shared" si="37"/>
        <v>15.283842794759824</v>
      </c>
      <c r="EK11" s="27">
        <f t="shared" si="144"/>
        <v>18.486171761280929</v>
      </c>
      <c r="EL11" s="27">
        <f t="shared" si="38"/>
        <v>20.669577874818046</v>
      </c>
      <c r="EM11" s="27">
        <f t="shared" si="39"/>
        <v>56.186317321688499</v>
      </c>
      <c r="EN11" s="27">
        <f t="shared" si="40"/>
        <v>56.622998544395919</v>
      </c>
      <c r="EO11" s="27">
        <f t="shared" si="149"/>
        <v>38.136826783114991</v>
      </c>
      <c r="EP11" s="27">
        <f t="shared" si="41"/>
        <v>39.301310043668117</v>
      </c>
      <c r="EQ11" s="27">
        <f t="shared" si="58"/>
        <v>36.244541484716152</v>
      </c>
      <c r="ER11" s="27">
        <f t="shared" si="59"/>
        <v>38.136826783114991</v>
      </c>
      <c r="ES11" s="27">
        <f t="shared" si="60"/>
        <v>67.001455604075687</v>
      </c>
      <c r="ET11" s="27">
        <f t="shared" si="61"/>
        <v>65.021834061135365</v>
      </c>
      <c r="EU11" s="27">
        <f t="shared" si="62"/>
        <v>66.404657933042202</v>
      </c>
      <c r="EV11" s="27">
        <f t="shared" si="63"/>
        <v>18.631732168850071</v>
      </c>
      <c r="EW11" s="27">
        <f t="shared" si="64"/>
        <v>27.190684133915571</v>
      </c>
      <c r="EX11" s="27">
        <f t="shared" si="65"/>
        <v>40.931586608442501</v>
      </c>
      <c r="EY11" s="27">
        <f t="shared" si="66"/>
        <v>26.50655021834061</v>
      </c>
      <c r="EZ11" s="27">
        <f t="shared" si="67"/>
        <v>52.21251819505094</v>
      </c>
      <c r="FA11" s="27">
        <f t="shared" si="68"/>
        <v>44.235807860262007</v>
      </c>
      <c r="FB11" s="27">
        <f t="shared" si="69"/>
        <v>52.503639010189225</v>
      </c>
      <c r="FC11" s="31">
        <f t="shared" si="145"/>
        <v>34.366197183098592</v>
      </c>
      <c r="FD11" s="31">
        <f>BW12/B12</f>
        <v>28.732394366197184</v>
      </c>
      <c r="FE11" s="31">
        <f t="shared" si="137"/>
        <v>32.112676056338032</v>
      </c>
      <c r="FF11" s="31">
        <f t="shared" si="150"/>
        <v>62.590975254730708</v>
      </c>
      <c r="FG11" s="31">
        <f t="shared" si="70"/>
        <v>53.129548762736533</v>
      </c>
      <c r="FH11" s="31">
        <f t="shared" si="42"/>
        <v>20.087336244541483</v>
      </c>
      <c r="FI11" s="31">
        <f t="shared" si="71"/>
        <v>25.909752547307132</v>
      </c>
      <c r="FJ11" s="31">
        <f t="shared" si="43"/>
        <v>29.257641921397379</v>
      </c>
      <c r="FK11" s="31">
        <f t="shared" si="72"/>
        <v>141.19359534206694</v>
      </c>
      <c r="FL11" s="31">
        <f t="shared" si="44"/>
        <v>33.478893740902471</v>
      </c>
      <c r="FM11" s="31">
        <f t="shared" si="45"/>
        <v>26.491994177583695</v>
      </c>
      <c r="FN11" s="31">
        <f t="shared" si="46"/>
        <v>10.960698689956331</v>
      </c>
      <c r="FO11" s="31">
        <f t="shared" si="47"/>
        <v>38.282387190684133</v>
      </c>
      <c r="FP11" s="31">
        <f t="shared" si="48"/>
        <v>30.305676855895193</v>
      </c>
      <c r="FQ11" s="31">
        <f t="shared" si="49"/>
        <v>59.534206695778742</v>
      </c>
      <c r="FR11" s="31">
        <f t="shared" si="50"/>
        <v>6.5211062590975253</v>
      </c>
      <c r="FS11" s="3">
        <v>2.5</v>
      </c>
      <c r="FT11" s="29">
        <f>FS11/B11</f>
        <v>3.6390101892285296</v>
      </c>
      <c r="FU11" s="34">
        <v>0.16900000000000001</v>
      </c>
      <c r="FV11" s="34">
        <v>0.215</v>
      </c>
      <c r="FW11" s="34">
        <v>0.17699999999999999</v>
      </c>
      <c r="FX11" s="34">
        <v>0.246</v>
      </c>
      <c r="FY11" s="34">
        <v>0.16200000000000001</v>
      </c>
      <c r="FZ11" s="34">
        <v>0.17499999999999999</v>
      </c>
      <c r="GA11" s="34">
        <v>0.14499999999999999</v>
      </c>
      <c r="GB11" s="34">
        <v>0.156</v>
      </c>
      <c r="GC11" s="34">
        <v>0.13</v>
      </c>
      <c r="GD11" s="34">
        <v>0.31</v>
      </c>
      <c r="GE11" s="34">
        <v>0.63100000000000001</v>
      </c>
      <c r="GF11" s="3">
        <v>31</v>
      </c>
      <c r="GG11" s="3">
        <v>34</v>
      </c>
      <c r="GH11" s="23" t="s">
        <v>12</v>
      </c>
      <c r="GI11" s="23">
        <v>47</v>
      </c>
      <c r="GJ11" s="23">
        <v>1.6</v>
      </c>
      <c r="GK11" s="23">
        <v>1.4</v>
      </c>
      <c r="GL11" s="36">
        <v>0.68700000000000006</v>
      </c>
      <c r="GM11" s="37">
        <f t="shared" si="146"/>
        <v>0.24599708879184862</v>
      </c>
      <c r="GN11" s="37">
        <f t="shared" si="124"/>
        <v>0.31295487627365354</v>
      </c>
      <c r="GO11" s="37">
        <f t="shared" si="125"/>
        <v>0.2576419213973799</v>
      </c>
      <c r="GP11" s="37">
        <f t="shared" si="126"/>
        <v>0.35807860262008728</v>
      </c>
      <c r="GQ11" s="37">
        <f t="shared" si="127"/>
        <v>0.23580786026200873</v>
      </c>
      <c r="GR11" s="37">
        <f t="shared" si="128"/>
        <v>0.25473071324599705</v>
      </c>
      <c r="GS11" s="37">
        <f t="shared" si="129"/>
        <v>0.2110625909752547</v>
      </c>
      <c r="GT11" s="37">
        <f t="shared" si="130"/>
        <v>0.22707423580786024</v>
      </c>
      <c r="GU11" s="37">
        <f t="shared" si="131"/>
        <v>0.18922852983988353</v>
      </c>
      <c r="GV11" s="37">
        <f t="shared" si="132"/>
        <v>0.45123726346433768</v>
      </c>
      <c r="GW11" s="37">
        <f t="shared" si="133"/>
        <v>0.91848617176128089</v>
      </c>
      <c r="GX11" s="37">
        <f>GF11/GL11</f>
        <v>45.123726346433763</v>
      </c>
      <c r="GY11" s="37">
        <f>GG11/GL11</f>
        <v>49.490538573508005</v>
      </c>
      <c r="GZ11" s="37">
        <f t="shared" si="134"/>
        <v>68.413391557496354</v>
      </c>
      <c r="HA11" s="50">
        <f>GI11/B11</f>
        <v>68.413391557496354</v>
      </c>
      <c r="HB11" s="50">
        <f t="shared" si="135"/>
        <v>2.3289665211062589</v>
      </c>
      <c r="HC11" s="50">
        <f t="shared" si="136"/>
        <v>2.0378457059679764</v>
      </c>
      <c r="HD11" s="23" t="s">
        <v>12</v>
      </c>
      <c r="HE11" s="36">
        <v>0.68700000000000006</v>
      </c>
      <c r="HG11" s="3">
        <f t="shared" si="75"/>
        <v>14.701601164483259</v>
      </c>
      <c r="HH11" s="3">
        <f t="shared" si="76"/>
        <v>14.701601164483259</v>
      </c>
      <c r="HI11" s="3">
        <f t="shared" si="77"/>
        <v>25.036390101892284</v>
      </c>
      <c r="HJ11" s="3">
        <f t="shared" si="52"/>
        <v>0.34324324324324323</v>
      </c>
      <c r="HK11" s="3">
        <f t="shared" si="52"/>
        <v>0.35835405405405407</v>
      </c>
      <c r="HL11" s="3">
        <f t="shared" si="52"/>
        <v>2.0666666666666664</v>
      </c>
      <c r="HM11" s="3">
        <f t="shared" si="52"/>
        <v>2.2772277227722775</v>
      </c>
      <c r="HN11" s="3">
        <f t="shared" si="52"/>
        <v>0.99418604651162801</v>
      </c>
      <c r="HO11" s="3">
        <f t="shared" si="52"/>
        <v>1.9921259842519687</v>
      </c>
      <c r="HP11" s="3">
        <f t="shared" si="52"/>
        <v>1.0984455958549222</v>
      </c>
      <c r="HQ11" s="3">
        <f t="shared" si="52"/>
        <v>0.77419354838709686</v>
      </c>
      <c r="HR11" s="3">
        <f t="shared" si="78"/>
        <v>0.75652173913043474</v>
      </c>
      <c r="HS11" s="3">
        <f t="shared" si="79"/>
        <v>0.76608187134502914</v>
      </c>
      <c r="HT11" s="3">
        <f t="shared" si="80"/>
        <v>0.6837944664031621</v>
      </c>
      <c r="HU11" s="3">
        <f t="shared" si="81"/>
        <v>1.0754716981132075</v>
      </c>
      <c r="HV11" s="36">
        <v>0.68700000000000006</v>
      </c>
      <c r="HW11" s="56"/>
      <c r="HX11" s="23" t="s">
        <v>12</v>
      </c>
      <c r="HZ11" s="63">
        <v>0.69599761755207457</v>
      </c>
      <c r="IA11" s="63">
        <v>3.7850318558106077</v>
      </c>
      <c r="IB11" s="63">
        <v>4.1318930758380734</v>
      </c>
      <c r="IC11" s="63">
        <v>2.646152643181054</v>
      </c>
      <c r="ID11" s="63">
        <v>9.480089726601916E-2</v>
      </c>
      <c r="IE11" s="63">
        <v>0.14282799274010088</v>
      </c>
      <c r="IF11" s="63">
        <v>2.218060892433686</v>
      </c>
      <c r="IG11" s="63">
        <v>0.13732805500175738</v>
      </c>
      <c r="IH11" s="63">
        <v>1.940607039147825</v>
      </c>
      <c r="II11" s="63">
        <v>0.20299641455509881</v>
      </c>
      <c r="IJ11" s="63">
        <v>1.555887531891113</v>
      </c>
      <c r="IK11" s="63">
        <v>1.4926696577275649</v>
      </c>
      <c r="IL11" s="63">
        <v>0.45861575803083549</v>
      </c>
      <c r="IM11" s="63">
        <v>0.52032958611118996</v>
      </c>
      <c r="IN11" s="63">
        <v>0.17404507948131717</v>
      </c>
      <c r="IO11" s="63">
        <v>1.8710739548210347</v>
      </c>
      <c r="IP11" s="63">
        <v>2.0640030407403636</v>
      </c>
      <c r="IQ11" s="63">
        <v>2.6334707215993416</v>
      </c>
      <c r="IR11" s="63">
        <v>0.26930742318996576</v>
      </c>
      <c r="IS11" s="63">
        <v>2.8928563967490475</v>
      </c>
      <c r="IT11" s="63">
        <v>1.6422949449799307</v>
      </c>
      <c r="IU11" s="63">
        <v>0.12005066956982861</v>
      </c>
      <c r="IW11" s="67">
        <v>1.4621937534119769</v>
      </c>
      <c r="IX11" s="67">
        <v>0.65269321557711324</v>
      </c>
      <c r="IY11" s="67">
        <v>0.44054777579416832</v>
      </c>
      <c r="JA11" s="63">
        <v>1.2222047052522966</v>
      </c>
      <c r="JB11" s="63">
        <v>2.2372488645432473</v>
      </c>
      <c r="JC11" s="63">
        <v>2.0838499533031563</v>
      </c>
      <c r="JD11" s="63">
        <v>2.6349878347292419</v>
      </c>
      <c r="JE11" s="63">
        <v>1.6490428084426769</v>
      </c>
      <c r="JF11" s="63">
        <v>2.6251891362778208</v>
      </c>
      <c r="JG11" s="63">
        <v>1.9926779649906088</v>
      </c>
      <c r="JH11" s="63">
        <v>6.8544961088991503</v>
      </c>
      <c r="JI11" s="63">
        <v>3.4838359048163916</v>
      </c>
      <c r="JJ11" s="63">
        <v>4.8334986971316942</v>
      </c>
      <c r="JK11" s="63">
        <v>4.1558624214759767</v>
      </c>
      <c r="JL11" s="63">
        <v>4.2523514371813409</v>
      </c>
      <c r="JM11" s="63">
        <v>5.5137714524914641</v>
      </c>
      <c r="JN11" s="63">
        <v>9.5174741216661705</v>
      </c>
      <c r="JO11" s="63">
        <v>5.0130259790298455</v>
      </c>
      <c r="JP11" s="63">
        <v>7.3483593753859955</v>
      </c>
      <c r="JQ11" s="63">
        <v>6.0095044722557107</v>
      </c>
      <c r="JS11" s="69"/>
      <c r="JT11" s="69"/>
      <c r="JV11" s="73">
        <f t="shared" si="82"/>
        <v>1.0130969687803122</v>
      </c>
      <c r="JW11" s="73">
        <f t="shared" si="83"/>
        <v>5.5095077959397489</v>
      </c>
      <c r="JX11" s="73">
        <f t="shared" si="84"/>
        <v>6.0144004015110237</v>
      </c>
      <c r="JY11" s="73">
        <f t="shared" si="85"/>
        <v>3.8517505723159444</v>
      </c>
      <c r="JZ11" s="73">
        <f t="shared" si="86"/>
        <v>0.13799257243962032</v>
      </c>
      <c r="KA11" s="73">
        <f t="shared" si="87"/>
        <v>0.20790100835531422</v>
      </c>
      <c r="KB11" s="73">
        <f t="shared" si="88"/>
        <v>3.2286184751582034</v>
      </c>
      <c r="KC11" s="73">
        <f t="shared" si="89"/>
        <v>0.19989527656733241</v>
      </c>
      <c r="KD11" s="73">
        <f t="shared" si="90"/>
        <v>2.8247555154990174</v>
      </c>
      <c r="KE11" s="73">
        <f t="shared" si="91"/>
        <v>0.29548240837714529</v>
      </c>
      <c r="KF11" s="73">
        <f t="shared" si="92"/>
        <v>2.2647562327381556</v>
      </c>
      <c r="KG11" s="73">
        <f t="shared" si="93"/>
        <v>2.1727360374491482</v>
      </c>
      <c r="KH11" s="73">
        <f t="shared" si="94"/>
        <v>0.66756296656599046</v>
      </c>
      <c r="KI11" s="73">
        <f t="shared" si="95"/>
        <v>0.75739386624627358</v>
      </c>
      <c r="KJ11" s="73">
        <f t="shared" si="96"/>
        <v>0.25334072704704097</v>
      </c>
      <c r="KK11" s="73">
        <f t="shared" si="97"/>
        <v>2.7235428745575465</v>
      </c>
      <c r="KL11" s="73">
        <f t="shared" si="98"/>
        <v>3.0043712383411405</v>
      </c>
      <c r="KM11" s="73">
        <f t="shared" si="99"/>
        <v>3.8332907155740048</v>
      </c>
      <c r="KN11" s="73">
        <f t="shared" si="100"/>
        <v>0.39200498280926599</v>
      </c>
      <c r="KO11" s="73">
        <f t="shared" si="101"/>
        <v>4.2108535614978857</v>
      </c>
      <c r="KP11" s="73">
        <f t="shared" si="102"/>
        <v>2.3905312154001899</v>
      </c>
      <c r="KQ11" s="73">
        <f t="shared" si="103"/>
        <v>0.17474624391532548</v>
      </c>
      <c r="KS11" s="66">
        <f t="shared" si="104"/>
        <v>2.1283751869169967</v>
      </c>
      <c r="KT11" s="66">
        <f t="shared" si="105"/>
        <v>0.9500629047701793</v>
      </c>
      <c r="KU11" s="66">
        <f t="shared" si="106"/>
        <v>0.64126313798277768</v>
      </c>
      <c r="KW11" s="32">
        <f t="shared" si="107"/>
        <v>1.7790461502944637</v>
      </c>
      <c r="KX11" s="32">
        <f t="shared" si="108"/>
        <v>3.2565485655651343</v>
      </c>
      <c r="KY11" s="32">
        <f t="shared" si="109"/>
        <v>3.0332604851574323</v>
      </c>
      <c r="KZ11" s="32">
        <f t="shared" si="110"/>
        <v>3.8354990316291726</v>
      </c>
      <c r="LA11" s="32">
        <f t="shared" si="111"/>
        <v>2.4003534329587728</v>
      </c>
      <c r="LB11" s="32">
        <f t="shared" si="112"/>
        <v>3.8212360062268131</v>
      </c>
      <c r="LC11" s="32">
        <f t="shared" si="113"/>
        <v>2.9005501673807985</v>
      </c>
      <c r="LD11" s="32">
        <f t="shared" si="114"/>
        <v>9.9774324729245265</v>
      </c>
      <c r="LE11" s="32">
        <f t="shared" si="115"/>
        <v>5.0710857420908173</v>
      </c>
      <c r="LF11" s="32">
        <f t="shared" si="116"/>
        <v>7.0356604033940231</v>
      </c>
      <c r="LG11" s="32">
        <f t="shared" si="117"/>
        <v>6.0492902787132117</v>
      </c>
      <c r="LH11" s="32">
        <f t="shared" si="118"/>
        <v>6.1897400832333922</v>
      </c>
      <c r="LI11" s="32">
        <f t="shared" si="119"/>
        <v>8.0258681986775304</v>
      </c>
      <c r="LJ11" s="32">
        <f t="shared" si="120"/>
        <v>13.853674121784818</v>
      </c>
      <c r="LK11" s="32">
        <f t="shared" si="121"/>
        <v>7.2969810466227729</v>
      </c>
      <c r="LL11" s="32">
        <f t="shared" si="122"/>
        <v>10.696301856457053</v>
      </c>
      <c r="LM11" s="32">
        <f t="shared" si="123"/>
        <v>8.7474592027011795</v>
      </c>
    </row>
    <row r="12" spans="1:325" x14ac:dyDescent="0.3">
      <c r="A12" s="11" t="s">
        <v>13</v>
      </c>
      <c r="B12" s="59">
        <v>1.7749999999999999</v>
      </c>
      <c r="C12" s="3">
        <v>80</v>
      </c>
      <c r="D12" s="57">
        <f t="shared" si="0"/>
        <v>45.070422535211272</v>
      </c>
      <c r="E12">
        <v>22.6</v>
      </c>
      <c r="F12">
        <v>22.3</v>
      </c>
      <c r="G12">
        <v>39.5</v>
      </c>
      <c r="H12">
        <v>27.5</v>
      </c>
      <c r="I12">
        <v>46.2</v>
      </c>
      <c r="J12">
        <v>48.3</v>
      </c>
      <c r="K12">
        <v>49.8</v>
      </c>
      <c r="L12">
        <v>38.4</v>
      </c>
      <c r="M12">
        <v>54.3</v>
      </c>
      <c r="N12">
        <v>50</v>
      </c>
      <c r="O12">
        <v>38.299999999999997</v>
      </c>
      <c r="P12">
        <v>42.2</v>
      </c>
      <c r="Q12">
        <v>29.6</v>
      </c>
      <c r="R12">
        <v>38.1</v>
      </c>
      <c r="S12">
        <v>49.6</v>
      </c>
      <c r="T12">
        <v>45</v>
      </c>
      <c r="U12">
        <v>46.1</v>
      </c>
      <c r="V12">
        <v>36.5</v>
      </c>
      <c r="W12">
        <v>48.7</v>
      </c>
      <c r="X12">
        <v>44.3</v>
      </c>
      <c r="Y12">
        <v>55.8</v>
      </c>
      <c r="Z12">
        <v>45.9</v>
      </c>
      <c r="AA12">
        <v>52.4</v>
      </c>
      <c r="AB12">
        <v>48.8</v>
      </c>
      <c r="AC12">
        <v>45.1</v>
      </c>
      <c r="AD12">
        <v>37.799999999999997</v>
      </c>
      <c r="AE12">
        <v>37.9</v>
      </c>
      <c r="AF12">
        <v>43.5</v>
      </c>
      <c r="AG12">
        <v>40.4</v>
      </c>
      <c r="AH12">
        <v>44.9</v>
      </c>
      <c r="AI12">
        <v>41.4</v>
      </c>
      <c r="AJ12">
        <v>55.6</v>
      </c>
      <c r="AK12">
        <v>56.9</v>
      </c>
      <c r="AL12">
        <v>49.8</v>
      </c>
      <c r="AM12">
        <v>50.5</v>
      </c>
      <c r="AN12"/>
      <c r="AO12"/>
      <c r="AP12">
        <v>33.6</v>
      </c>
      <c r="AQ12">
        <v>32.799999999999997</v>
      </c>
      <c r="AR12">
        <v>33.700000000000003</v>
      </c>
      <c r="AS12">
        <v>40.9</v>
      </c>
      <c r="AT12">
        <v>51.9</v>
      </c>
      <c r="AU12">
        <v>43.39</v>
      </c>
      <c r="AV12">
        <v>52</v>
      </c>
      <c r="AW12">
        <v>52.1</v>
      </c>
      <c r="AX12">
        <v>36.9</v>
      </c>
      <c r="AY12">
        <v>37.299999999999997</v>
      </c>
      <c r="AZ12">
        <v>36.4</v>
      </c>
      <c r="BA12">
        <v>47.5</v>
      </c>
      <c r="BB12">
        <v>42.2</v>
      </c>
      <c r="BC12">
        <v>21.7</v>
      </c>
      <c r="BD12">
        <v>26.6</v>
      </c>
      <c r="BE12">
        <v>30.1</v>
      </c>
      <c r="BF12">
        <v>80.5</v>
      </c>
      <c r="BG12">
        <v>80.599999999999994</v>
      </c>
      <c r="BH12">
        <v>54</v>
      </c>
      <c r="BI12">
        <v>54.8</v>
      </c>
      <c r="BJ12">
        <v>54.4</v>
      </c>
      <c r="BK12">
        <v>57.7</v>
      </c>
      <c r="BL12">
        <v>91.32</v>
      </c>
      <c r="BM12">
        <v>90.02</v>
      </c>
      <c r="BN12">
        <v>90</v>
      </c>
      <c r="BO12">
        <v>26.92</v>
      </c>
      <c r="BP12">
        <v>38.14</v>
      </c>
      <c r="BQ12">
        <v>57.98</v>
      </c>
      <c r="BR12">
        <v>37.42</v>
      </c>
      <c r="BS12">
        <v>75.2</v>
      </c>
      <c r="BT12">
        <v>61.22</v>
      </c>
      <c r="BU12">
        <v>70.819999999999993</v>
      </c>
      <c r="BV12">
        <v>61</v>
      </c>
      <c r="BW12">
        <v>51</v>
      </c>
      <c r="BX12">
        <v>57</v>
      </c>
      <c r="BY12">
        <v>96</v>
      </c>
      <c r="BZ12">
        <v>68.150000000000006</v>
      </c>
      <c r="CA12">
        <v>29</v>
      </c>
      <c r="CB12">
        <v>37.9</v>
      </c>
      <c r="CC12">
        <v>44</v>
      </c>
      <c r="CD12">
        <v>201</v>
      </c>
      <c r="CE12"/>
      <c r="CF12">
        <v>41</v>
      </c>
      <c r="CG12">
        <v>16.04</v>
      </c>
      <c r="CH12">
        <v>55.37</v>
      </c>
      <c r="CI12" s="3">
        <v>43.22</v>
      </c>
      <c r="CJ12" s="3">
        <v>86.53</v>
      </c>
      <c r="CK12" s="3">
        <v>11.85</v>
      </c>
      <c r="CL12" s="27">
        <f t="shared" si="147"/>
        <v>12.732394366197184</v>
      </c>
      <c r="CM12" s="27">
        <f t="shared" si="1"/>
        <v>12.563380281690142</v>
      </c>
      <c r="CN12" s="27">
        <f t="shared" si="138"/>
        <v>22.253521126760564</v>
      </c>
      <c r="CO12" s="27">
        <f t="shared" si="139"/>
        <v>15.492957746478874</v>
      </c>
      <c r="CP12" s="27">
        <f t="shared" si="148"/>
        <v>26.028169014084511</v>
      </c>
      <c r="CQ12" s="27">
        <f t="shared" si="140"/>
        <v>27.211267605633804</v>
      </c>
      <c r="CR12" s="27">
        <f t="shared" si="2"/>
        <v>28.056338028169012</v>
      </c>
      <c r="CS12" s="27">
        <f t="shared" si="55"/>
        <v>30.591549295774648</v>
      </c>
      <c r="CT12" s="27">
        <f t="shared" si="3"/>
        <v>30.591549295774648</v>
      </c>
      <c r="CU12" s="27">
        <f t="shared" si="141"/>
        <v>28.169014084507044</v>
      </c>
      <c r="CV12" s="27">
        <f t="shared" si="4"/>
        <v>21.577464788732392</v>
      </c>
      <c r="CW12" s="27">
        <f>P12/B12</f>
        <v>23.774647887323948</v>
      </c>
      <c r="CX12" s="27">
        <f t="shared" si="142"/>
        <v>16.676056338028172</v>
      </c>
      <c r="CY12" s="27">
        <f t="shared" si="143"/>
        <v>21.464788732394368</v>
      </c>
      <c r="CZ12" s="27">
        <f t="shared" si="5"/>
        <v>27.943661971830988</v>
      </c>
      <c r="DA12" s="27">
        <f t="shared" si="6"/>
        <v>25.35211267605634</v>
      </c>
      <c r="DB12" s="27">
        <f t="shared" si="7"/>
        <v>25.971830985915496</v>
      </c>
      <c r="DC12" s="27">
        <f t="shared" si="8"/>
        <v>20.563380281690144</v>
      </c>
      <c r="DD12" s="27">
        <f t="shared" si="9"/>
        <v>27.436619718309863</v>
      </c>
      <c r="DE12" s="27">
        <f t="shared" si="10"/>
        <v>24.95774647887324</v>
      </c>
      <c r="DF12" s="27">
        <f t="shared" si="11"/>
        <v>31.43661971830986</v>
      </c>
      <c r="DG12" s="27">
        <f t="shared" si="12"/>
        <v>25.859154929577464</v>
      </c>
      <c r="DH12" s="27">
        <f t="shared" si="56"/>
        <v>29.52112676056338</v>
      </c>
      <c r="DI12" s="27">
        <f t="shared" si="13"/>
        <v>27.492957746478872</v>
      </c>
      <c r="DJ12" s="27">
        <f t="shared" si="14"/>
        <v>25.408450704225356</v>
      </c>
      <c r="DK12" s="27">
        <f t="shared" si="15"/>
        <v>21.295774647887324</v>
      </c>
      <c r="DL12" s="27">
        <f t="shared" si="16"/>
        <v>21.35211267605634</v>
      </c>
      <c r="DM12" s="27">
        <f t="shared" si="17"/>
        <v>24.507042253521128</v>
      </c>
      <c r="DN12" s="27">
        <f t="shared" si="18"/>
        <v>22.760563380281692</v>
      </c>
      <c r="DO12" s="27">
        <f t="shared" si="19"/>
        <v>25.295774647887324</v>
      </c>
      <c r="DP12" s="27">
        <f t="shared" si="20"/>
        <v>23.323943661971832</v>
      </c>
      <c r="DQ12" s="27">
        <f t="shared" si="21"/>
        <v>31.323943661971832</v>
      </c>
      <c r="DR12" s="27">
        <f t="shared" si="22"/>
        <v>32.056338028169016</v>
      </c>
      <c r="DS12" s="27">
        <f t="shared" si="23"/>
        <v>28.056338028169012</v>
      </c>
      <c r="DT12" s="27">
        <f t="shared" si="24"/>
        <v>28.450704225352116</v>
      </c>
      <c r="DU12" s="27"/>
      <c r="DV12" s="27"/>
      <c r="DW12" s="27">
        <f t="shared" si="25"/>
        <v>18.929577464788736</v>
      </c>
      <c r="DX12" s="27">
        <f t="shared" si="57"/>
        <v>18.47887323943662</v>
      </c>
      <c r="DY12" s="27">
        <f t="shared" si="26"/>
        <v>18.985915492957748</v>
      </c>
      <c r="DZ12" s="27">
        <f t="shared" si="27"/>
        <v>23.04225352112676</v>
      </c>
      <c r="EA12" s="27">
        <f t="shared" si="28"/>
        <v>29.239436619718312</v>
      </c>
      <c r="EB12" s="27">
        <f t="shared" si="29"/>
        <v>24.445070422535213</v>
      </c>
      <c r="EC12" s="27">
        <f t="shared" si="30"/>
        <v>29.295774647887324</v>
      </c>
      <c r="ED12" s="27">
        <f t="shared" si="31"/>
        <v>29.35211267605634</v>
      </c>
      <c r="EE12" s="27">
        <f t="shared" si="32"/>
        <v>20.788732394366196</v>
      </c>
      <c r="EF12" s="27">
        <f t="shared" si="33"/>
        <v>21.014084507042252</v>
      </c>
      <c r="EG12" s="27">
        <f t="shared" si="34"/>
        <v>20.507042253521128</v>
      </c>
      <c r="EH12" s="27">
        <f t="shared" si="35"/>
        <v>26.760563380281692</v>
      </c>
      <c r="EI12" s="27">
        <f t="shared" si="36"/>
        <v>23.774647887323948</v>
      </c>
      <c r="EJ12" s="27">
        <f t="shared" si="37"/>
        <v>12.225352112676056</v>
      </c>
      <c r="EK12" s="27">
        <f t="shared" si="144"/>
        <v>14.985915492957748</v>
      </c>
      <c r="EL12" s="27">
        <f t="shared" si="38"/>
        <v>16.95774647887324</v>
      </c>
      <c r="EM12" s="27">
        <f t="shared" si="39"/>
        <v>45.352112676056343</v>
      </c>
      <c r="EN12" s="27">
        <f t="shared" si="40"/>
        <v>45.408450704225352</v>
      </c>
      <c r="EO12" s="27">
        <f t="shared" si="149"/>
        <v>30.422535211267608</v>
      </c>
      <c r="EP12" s="27">
        <f t="shared" si="41"/>
        <v>30.87323943661972</v>
      </c>
      <c r="EQ12" s="27">
        <f t="shared" si="58"/>
        <v>30.647887323943664</v>
      </c>
      <c r="ER12" s="27">
        <f t="shared" si="59"/>
        <v>32.507042253521128</v>
      </c>
      <c r="ES12" s="27">
        <f t="shared" si="60"/>
        <v>51.447887323943661</v>
      </c>
      <c r="ET12" s="27">
        <f t="shared" si="61"/>
        <v>50.715492957746477</v>
      </c>
      <c r="EU12" s="27">
        <f t="shared" si="62"/>
        <v>50.70422535211268</v>
      </c>
      <c r="EV12" s="27">
        <f t="shared" si="63"/>
        <v>15.166197183098593</v>
      </c>
      <c r="EW12" s="27">
        <f t="shared" si="64"/>
        <v>21.487323943661973</v>
      </c>
      <c r="EX12" s="27">
        <f t="shared" si="65"/>
        <v>32.664788732394364</v>
      </c>
      <c r="EY12" s="27">
        <f t="shared" si="66"/>
        <v>21.081690140845073</v>
      </c>
      <c r="EZ12" s="27">
        <f t="shared" si="67"/>
        <v>42.366197183098592</v>
      </c>
      <c r="FA12" s="27">
        <f t="shared" si="68"/>
        <v>34.490140845070421</v>
      </c>
      <c r="FB12" s="27">
        <f t="shared" si="69"/>
        <v>39.898591549295773</v>
      </c>
      <c r="FC12" s="31">
        <f t="shared" si="145"/>
        <v>42.253521126760567</v>
      </c>
      <c r="FD12" s="31"/>
      <c r="FE12" s="31">
        <f t="shared" si="137"/>
        <v>69.01408450704227</v>
      </c>
      <c r="FF12" s="31">
        <f t="shared" si="150"/>
        <v>54.084507042253527</v>
      </c>
      <c r="FG12" s="31">
        <f t="shared" si="70"/>
        <v>38.394366197183103</v>
      </c>
      <c r="FH12" s="31">
        <f t="shared" si="42"/>
        <v>16.338028169014084</v>
      </c>
      <c r="FI12" s="31">
        <f t="shared" si="71"/>
        <v>21.35211267605634</v>
      </c>
      <c r="FJ12" s="31">
        <f t="shared" si="43"/>
        <v>24.7887323943662</v>
      </c>
      <c r="FK12" s="31">
        <f t="shared" si="72"/>
        <v>113.23943661971832</v>
      </c>
      <c r="FL12" s="31">
        <f t="shared" si="44"/>
        <v>0</v>
      </c>
      <c r="FM12" s="31">
        <f t="shared" si="45"/>
        <v>23.098591549295776</v>
      </c>
      <c r="FN12" s="31">
        <f t="shared" si="46"/>
        <v>9.0366197183098596</v>
      </c>
      <c r="FO12" s="31">
        <f t="shared" si="47"/>
        <v>31.194366197183097</v>
      </c>
      <c r="FP12" s="31">
        <f t="shared" si="48"/>
        <v>24.349295774647889</v>
      </c>
      <c r="FQ12" s="31">
        <f t="shared" si="49"/>
        <v>48.749295774647891</v>
      </c>
      <c r="FR12" s="31">
        <f t="shared" si="50"/>
        <v>6.676056338028169</v>
      </c>
      <c r="FS12" s="3">
        <v>7.5</v>
      </c>
      <c r="FT12" s="29">
        <f>FS12/B12</f>
        <v>4.2253521126760569</v>
      </c>
      <c r="FU12" s="34">
        <v>0.45700000000000002</v>
      </c>
      <c r="FV12" s="34">
        <v>0.57499999999999996</v>
      </c>
      <c r="FW12" s="34">
        <v>0.45300000000000001</v>
      </c>
      <c r="FX12" s="34">
        <v>0.79400000000000004</v>
      </c>
      <c r="FY12" s="34">
        <v>0.52400000000000002</v>
      </c>
      <c r="FZ12" s="34">
        <v>0.629</v>
      </c>
      <c r="GA12" s="34">
        <v>0.49</v>
      </c>
      <c r="GB12" s="34">
        <v>0.433</v>
      </c>
      <c r="GC12" s="34">
        <v>0.37</v>
      </c>
      <c r="GD12" s="34">
        <v>0.68</v>
      </c>
      <c r="GE12" s="34">
        <v>1.3140000000000001</v>
      </c>
      <c r="GF12" s="3">
        <v>59</v>
      </c>
      <c r="GG12" s="3">
        <v>65</v>
      </c>
      <c r="GH12" s="23" t="s">
        <v>13</v>
      </c>
      <c r="GI12" s="23">
        <v>76</v>
      </c>
      <c r="GJ12" s="23">
        <v>3.1</v>
      </c>
      <c r="GK12" s="23">
        <v>2.5</v>
      </c>
      <c r="GL12" s="36">
        <v>1.7749999999999999</v>
      </c>
      <c r="GM12" s="37">
        <f t="shared" si="146"/>
        <v>0.25746478873239437</v>
      </c>
      <c r="GN12" s="37">
        <f t="shared" si="124"/>
        <v>0.323943661971831</v>
      </c>
      <c r="GO12" s="37">
        <f t="shared" si="125"/>
        <v>0.25521126760563384</v>
      </c>
      <c r="GP12" s="37">
        <f t="shared" si="126"/>
        <v>0.44732394366197187</v>
      </c>
      <c r="GQ12" s="37">
        <f t="shared" si="127"/>
        <v>0.29521126760563382</v>
      </c>
      <c r="GR12" s="37">
        <f t="shared" si="128"/>
        <v>0.35436619718309859</v>
      </c>
      <c r="GS12" s="37">
        <f t="shared" si="129"/>
        <v>0.27605633802816903</v>
      </c>
      <c r="GT12" s="37">
        <f t="shared" si="130"/>
        <v>0.24394366197183098</v>
      </c>
      <c r="GU12" s="37">
        <f t="shared" si="131"/>
        <v>0.20845070422535211</v>
      </c>
      <c r="GV12" s="37">
        <f t="shared" si="132"/>
        <v>0.38309859154929582</v>
      </c>
      <c r="GW12" s="37">
        <f t="shared" si="133"/>
        <v>0.74028169014084511</v>
      </c>
      <c r="GX12" s="37">
        <f>GF12/GL12</f>
        <v>33.239436619718312</v>
      </c>
      <c r="GY12" s="37">
        <f>GG12/GL12</f>
        <v>36.619718309859159</v>
      </c>
      <c r="GZ12" s="37">
        <f t="shared" si="134"/>
        <v>42.816901408450704</v>
      </c>
      <c r="HA12" s="50">
        <f>GI12/B12</f>
        <v>42.816901408450704</v>
      </c>
      <c r="HB12" s="50">
        <f t="shared" si="135"/>
        <v>1.7464788732394367</v>
      </c>
      <c r="HC12" s="50">
        <f t="shared" si="136"/>
        <v>1.4084507042253522</v>
      </c>
      <c r="HD12" s="23" t="s">
        <v>13</v>
      </c>
      <c r="HE12" s="36">
        <v>1.7749999999999999</v>
      </c>
      <c r="HG12" s="3">
        <f t="shared" si="75"/>
        <v>12.563380281690142</v>
      </c>
      <c r="HH12" s="3">
        <f t="shared" si="76"/>
        <v>12.563380281690142</v>
      </c>
      <c r="HI12" s="3">
        <f t="shared" si="77"/>
        <v>22.253521126760564</v>
      </c>
      <c r="HJ12" s="3">
        <f t="shared" si="52"/>
        <v>0.34375</v>
      </c>
      <c r="HK12" s="3">
        <f t="shared" si="52"/>
        <v>1.0250625</v>
      </c>
      <c r="HL12" s="3">
        <f t="shared" si="52"/>
        <v>2.13716814159292</v>
      </c>
      <c r="HM12" s="3">
        <f t="shared" si="52"/>
        <v>2.2331838565022419</v>
      </c>
      <c r="HN12" s="3">
        <f t="shared" si="52"/>
        <v>0.97215189873417718</v>
      </c>
      <c r="HO12" s="3">
        <f t="shared" si="52"/>
        <v>1.9745454545454544</v>
      </c>
      <c r="HP12" s="3">
        <f t="shared" si="52"/>
        <v>1.0822510822510822</v>
      </c>
      <c r="HQ12" s="3">
        <f t="shared" si="52"/>
        <v>0.79296066252587993</v>
      </c>
      <c r="HR12" s="3">
        <f t="shared" si="78"/>
        <v>0.84738955823293183</v>
      </c>
      <c r="HS12" s="3">
        <f t="shared" si="79"/>
        <v>0.77083333333333337</v>
      </c>
      <c r="HT12" s="3">
        <f t="shared" si="80"/>
        <v>0.70165745856353601</v>
      </c>
      <c r="HU12" s="3">
        <f t="shared" si="81"/>
        <v>0.99199999999999999</v>
      </c>
      <c r="HV12" s="36">
        <v>1.7749999999999999</v>
      </c>
      <c r="HW12" s="56"/>
      <c r="HX12" s="23" t="s">
        <v>13</v>
      </c>
      <c r="HZ12" s="63">
        <v>1.7621446811529511</v>
      </c>
      <c r="IA12" s="63">
        <v>9.4325503648856923</v>
      </c>
      <c r="IB12" s="63">
        <v>10.242269468698497</v>
      </c>
      <c r="IC12" s="63">
        <v>6.5446468567619709</v>
      </c>
      <c r="ID12" s="63">
        <v>0.30155341911416494</v>
      </c>
      <c r="IE12" s="63">
        <v>0.44840382189263028</v>
      </c>
      <c r="IF12" s="63">
        <v>5.5145640535574403</v>
      </c>
      <c r="IG12" s="63">
        <v>0.43004459387891797</v>
      </c>
      <c r="IH12" s="63">
        <v>4.9024882425231935</v>
      </c>
      <c r="II12" s="63">
        <v>0.69460656030174417</v>
      </c>
      <c r="IJ12" s="63">
        <v>3.6479711573190521</v>
      </c>
      <c r="IK12" s="63">
        <v>3.6354852648116709</v>
      </c>
      <c r="IL12" s="63">
        <v>1.2065316147991938</v>
      </c>
      <c r="IM12" s="63">
        <v>1.3309954808627071</v>
      </c>
      <c r="IN12" s="63">
        <v>0.45416149515034532</v>
      </c>
      <c r="IO12" s="63">
        <v>4.5060007782859524</v>
      </c>
      <c r="IP12" s="63">
        <v>5.0054711405582175</v>
      </c>
      <c r="IQ12" s="63">
        <v>6.5440365306791639</v>
      </c>
      <c r="IR12" s="63">
        <v>0.8158050783604256</v>
      </c>
      <c r="IS12" s="63">
        <v>7.0785709658591252</v>
      </c>
      <c r="IT12" s="63">
        <v>4.0144356751853856</v>
      </c>
      <c r="IU12" s="63">
        <v>0.34019351647763618</v>
      </c>
      <c r="IV12" s="63"/>
      <c r="IW12" s="67">
        <v>3.5524667841429056</v>
      </c>
      <c r="IX12" s="67">
        <v>1.5055522984630061</v>
      </c>
      <c r="IY12" s="67">
        <v>1.1020290249996332</v>
      </c>
      <c r="JA12" s="63">
        <v>3.921455113160397</v>
      </c>
      <c r="JB12" s="63">
        <v>5.8983846671604407</v>
      </c>
      <c r="JC12" s="63">
        <v>5.4996295964142128</v>
      </c>
      <c r="JD12" s="63">
        <v>6.7908916379991551</v>
      </c>
      <c r="JE12" s="63">
        <v>4.399129812939421</v>
      </c>
      <c r="JF12" s="63">
        <v>6.8564431395199366</v>
      </c>
      <c r="JG12" s="63">
        <v>7.0013164981361991</v>
      </c>
      <c r="JH12" s="63">
        <v>17.390907456225602</v>
      </c>
      <c r="JI12" s="63">
        <v>11.978692575018805</v>
      </c>
      <c r="JJ12" s="63">
        <v>12.728469777073942</v>
      </c>
      <c r="JK12" s="63">
        <v>12.806789001846015</v>
      </c>
      <c r="JL12" s="63">
        <v>12.844557624240554</v>
      </c>
      <c r="JM12" s="63">
        <v>13.930904271003124</v>
      </c>
      <c r="JN12" s="63">
        <v>23.835409669010243</v>
      </c>
      <c r="JO12" s="63">
        <v>13.075553248791159</v>
      </c>
      <c r="JP12" s="63">
        <v>18.512248232991411</v>
      </c>
      <c r="JQ12" s="63">
        <v>15.314487588498906</v>
      </c>
      <c r="JS12" s="69"/>
      <c r="JT12" s="69"/>
      <c r="JV12" s="73">
        <f t="shared" si="82"/>
        <v>0.99275756684673311</v>
      </c>
      <c r="JW12" s="73">
        <f t="shared" si="83"/>
        <v>5.3141128816257428</v>
      </c>
      <c r="JX12" s="73">
        <f t="shared" si="84"/>
        <v>5.7702926584216891</v>
      </c>
      <c r="JY12" s="73">
        <f t="shared" si="85"/>
        <v>3.6871249897250542</v>
      </c>
      <c r="JZ12" s="73">
        <f t="shared" si="86"/>
        <v>0.16988925020516335</v>
      </c>
      <c r="KA12" s="73">
        <f t="shared" si="87"/>
        <v>0.25262187148880583</v>
      </c>
      <c r="KB12" s="73">
        <f t="shared" si="88"/>
        <v>3.1067966498915158</v>
      </c>
      <c r="KC12" s="73">
        <f t="shared" si="89"/>
        <v>0.24227864443882705</v>
      </c>
      <c r="KD12" s="73">
        <f t="shared" si="90"/>
        <v>2.7619652070553204</v>
      </c>
      <c r="KE12" s="73">
        <f t="shared" si="91"/>
        <v>0.39132763960661643</v>
      </c>
      <c r="KF12" s="73">
        <f t="shared" si="92"/>
        <v>2.0551950182079168</v>
      </c>
      <c r="KG12" s="73">
        <f t="shared" si="93"/>
        <v>2.0481607125699557</v>
      </c>
      <c r="KH12" s="73">
        <f t="shared" si="94"/>
        <v>0.67973612101363035</v>
      </c>
      <c r="KI12" s="73">
        <f t="shared" si="95"/>
        <v>0.74985660893673645</v>
      </c>
      <c r="KJ12" s="73">
        <f t="shared" si="96"/>
        <v>0.25586563107061711</v>
      </c>
      <c r="KK12" s="73">
        <f t="shared" si="97"/>
        <v>2.538591987766734</v>
      </c>
      <c r="KL12" s="73">
        <f t="shared" si="98"/>
        <v>2.8199837411595592</v>
      </c>
      <c r="KM12" s="73">
        <f t="shared" si="99"/>
        <v>3.6867811440445997</v>
      </c>
      <c r="KN12" s="73">
        <f t="shared" si="100"/>
        <v>0.45960849485094402</v>
      </c>
      <c r="KO12" s="73">
        <f t="shared" si="101"/>
        <v>3.9879273047093666</v>
      </c>
      <c r="KP12" s="73">
        <f t="shared" si="102"/>
        <v>2.2616539015128936</v>
      </c>
      <c r="KQ12" s="73">
        <f t="shared" si="103"/>
        <v>0.19165831914233025</v>
      </c>
      <c r="KS12" s="66">
        <f t="shared" si="104"/>
        <v>2.0013897375452991</v>
      </c>
      <c r="KT12" s="66">
        <f t="shared" si="105"/>
        <v>0.84819847800732739</v>
      </c>
      <c r="KU12" s="66">
        <f t="shared" si="106"/>
        <v>0.62086142253500465</v>
      </c>
      <c r="KW12" s="32">
        <f t="shared" si="107"/>
        <v>2.2092704862875476</v>
      </c>
      <c r="KX12" s="32">
        <f t="shared" si="108"/>
        <v>3.3230336153016569</v>
      </c>
      <c r="KY12" s="32">
        <f t="shared" si="109"/>
        <v>3.0983828712192749</v>
      </c>
      <c r="KZ12" s="32">
        <f t="shared" si="110"/>
        <v>3.8258544439431863</v>
      </c>
      <c r="LA12" s="32">
        <f t="shared" si="111"/>
        <v>2.4783829932053076</v>
      </c>
      <c r="LB12" s="32">
        <f t="shared" si="112"/>
        <v>3.8627848673351757</v>
      </c>
      <c r="LC12" s="32">
        <f t="shared" si="113"/>
        <v>3.9444036609218025</v>
      </c>
      <c r="LD12" s="32">
        <f t="shared" si="114"/>
        <v>9.79769434153555</v>
      </c>
      <c r="LE12" s="32">
        <f t="shared" si="115"/>
        <v>6.7485591971936927</v>
      </c>
      <c r="LF12" s="32">
        <f t="shared" si="116"/>
        <v>7.1709688884923617</v>
      </c>
      <c r="LG12" s="32">
        <f t="shared" si="117"/>
        <v>7.2150923954062058</v>
      </c>
      <c r="LH12" s="32">
        <f t="shared" si="118"/>
        <v>7.2363704925298897</v>
      </c>
      <c r="LI12" s="32">
        <f t="shared" si="119"/>
        <v>7.8483967723961268</v>
      </c>
      <c r="LJ12" s="32">
        <f t="shared" si="120"/>
        <v>13.428399813526898</v>
      </c>
      <c r="LK12" s="32">
        <f t="shared" si="121"/>
        <v>7.3665088725584003</v>
      </c>
      <c r="LL12" s="32">
        <f t="shared" si="122"/>
        <v>10.429435624220513</v>
      </c>
      <c r="LM12" s="32">
        <f t="shared" si="123"/>
        <v>8.6278803315486794</v>
      </c>
    </row>
    <row r="13" spans="1:325" x14ac:dyDescent="0.3">
      <c r="A13" s="11" t="s">
        <v>22</v>
      </c>
      <c r="B13" s="59">
        <v>7.0999999999999994E-2</v>
      </c>
      <c r="C13" s="3">
        <v>3.2</v>
      </c>
      <c r="D13" s="57">
        <f t="shared" si="0"/>
        <v>45.070422535211272</v>
      </c>
      <c r="E13">
        <v>6</v>
      </c>
      <c r="F13">
        <v>2</v>
      </c>
      <c r="G13">
        <v>3</v>
      </c>
      <c r="H13">
        <v>6</v>
      </c>
      <c r="I13">
        <v>3</v>
      </c>
      <c r="J13">
        <v>6</v>
      </c>
      <c r="K13">
        <v>5.2</v>
      </c>
      <c r="L13">
        <v>4</v>
      </c>
      <c r="M13">
        <v>5.5</v>
      </c>
      <c r="N13">
        <v>6.6</v>
      </c>
      <c r="O13">
        <v>2.5</v>
      </c>
      <c r="P13"/>
      <c r="Q13">
        <v>2</v>
      </c>
      <c r="R13"/>
      <c r="S13">
        <v>6</v>
      </c>
      <c r="T13">
        <v>5.7</v>
      </c>
      <c r="U13">
        <v>7.2</v>
      </c>
      <c r="V13">
        <v>5.3</v>
      </c>
      <c r="W13">
        <v>7.4</v>
      </c>
      <c r="X13">
        <v>7.5</v>
      </c>
      <c r="Y13">
        <v>8.4</v>
      </c>
      <c r="Z13">
        <v>7.8</v>
      </c>
      <c r="AA13">
        <v>11</v>
      </c>
      <c r="AB13">
        <v>7.4</v>
      </c>
      <c r="AC13">
        <v>7.9</v>
      </c>
      <c r="AD13">
        <v>7.3</v>
      </c>
      <c r="AE13">
        <v>6.5</v>
      </c>
      <c r="AF13">
        <v>7.4</v>
      </c>
      <c r="AG13">
        <v>6.3</v>
      </c>
      <c r="AH13">
        <v>6.8</v>
      </c>
      <c r="AI13">
        <v>6.5</v>
      </c>
      <c r="AJ13">
        <v>9.1</v>
      </c>
      <c r="AK13">
        <v>8.5</v>
      </c>
      <c r="AL13">
        <v>7.3</v>
      </c>
      <c r="AM13">
        <v>8.4</v>
      </c>
      <c r="AN13"/>
      <c r="AO13"/>
      <c r="AP13">
        <v>4.8</v>
      </c>
      <c r="AQ13">
        <v>5.0999999999999996</v>
      </c>
      <c r="AR13">
        <v>4.8</v>
      </c>
      <c r="AS13">
        <v>5.6</v>
      </c>
      <c r="AT13">
        <v>7.5</v>
      </c>
      <c r="AU13">
        <v>7.5</v>
      </c>
      <c r="AV13">
        <v>8.6</v>
      </c>
      <c r="AW13">
        <v>8.6999999999999993</v>
      </c>
      <c r="AX13">
        <v>5</v>
      </c>
      <c r="AY13">
        <v>5.3</v>
      </c>
      <c r="AZ13">
        <v>5.2</v>
      </c>
      <c r="BA13">
        <v>6.1</v>
      </c>
      <c r="BB13">
        <v>6.1</v>
      </c>
      <c r="BC13">
        <v>2.2000000000000002</v>
      </c>
      <c r="BD13">
        <v>2.6</v>
      </c>
      <c r="BE13">
        <v>2.9</v>
      </c>
      <c r="BF13">
        <v>8.8000000000000007</v>
      </c>
      <c r="BG13">
        <v>8.4</v>
      </c>
      <c r="BH13">
        <v>13</v>
      </c>
      <c r="BI13">
        <v>6.2</v>
      </c>
      <c r="BJ13">
        <v>5</v>
      </c>
      <c r="BK13">
        <v>5.2</v>
      </c>
      <c r="BL13">
        <v>11.1</v>
      </c>
      <c r="BM13">
        <v>10.1</v>
      </c>
      <c r="BN13">
        <v>12.6</v>
      </c>
      <c r="BO13">
        <v>13.3</v>
      </c>
      <c r="BP13">
        <v>3.1</v>
      </c>
      <c r="BQ13">
        <v>6</v>
      </c>
      <c r="BR13">
        <v>4.8</v>
      </c>
      <c r="BS13">
        <v>8.1999999999999993</v>
      </c>
      <c r="BT13">
        <v>8.1</v>
      </c>
      <c r="BU13">
        <v>7.4</v>
      </c>
      <c r="BV13">
        <v>3</v>
      </c>
      <c r="BW13"/>
      <c r="BX13">
        <v>4.9000000000000004</v>
      </c>
      <c r="BY13">
        <v>7</v>
      </c>
      <c r="BZ13">
        <v>7.78</v>
      </c>
      <c r="CA13"/>
      <c r="CB13"/>
      <c r="CC13"/>
      <c r="CD13"/>
      <c r="CE13">
        <v>4.2</v>
      </c>
      <c r="CF13">
        <v>4.9000000000000004</v>
      </c>
      <c r="CG13">
        <v>3.4</v>
      </c>
      <c r="CH13">
        <v>7.79</v>
      </c>
      <c r="CI13" s="3">
        <v>3.33</v>
      </c>
      <c r="CJ13" s="3">
        <v>2.06</v>
      </c>
      <c r="CK13" s="3">
        <v>1.79</v>
      </c>
      <c r="CL13" s="27">
        <f t="shared" si="147"/>
        <v>84.507042253521135</v>
      </c>
      <c r="CM13" s="27">
        <f t="shared" si="1"/>
        <v>28.169014084507044</v>
      </c>
      <c r="CN13" s="27">
        <f t="shared" si="138"/>
        <v>42.253521126760567</v>
      </c>
      <c r="CO13" s="27">
        <f t="shared" si="139"/>
        <v>84.507042253521135</v>
      </c>
      <c r="CP13" s="27">
        <f t="shared" si="148"/>
        <v>42.253521126760567</v>
      </c>
      <c r="CQ13" s="27">
        <f t="shared" si="140"/>
        <v>84.507042253521135</v>
      </c>
      <c r="CR13" s="27">
        <f t="shared" si="2"/>
        <v>73.239436619718319</v>
      </c>
      <c r="CS13" s="27">
        <f t="shared" si="55"/>
        <v>77.464788732394368</v>
      </c>
      <c r="CT13" s="27">
        <f t="shared" si="3"/>
        <v>77.464788732394368</v>
      </c>
      <c r="CU13" s="27">
        <f t="shared" si="141"/>
        <v>92.957746478873247</v>
      </c>
      <c r="CV13" s="27">
        <f t="shared" si="4"/>
        <v>35.211267605633807</v>
      </c>
      <c r="CW13" s="27"/>
      <c r="CX13" s="27">
        <f t="shared" si="142"/>
        <v>28.169014084507044</v>
      </c>
      <c r="CY13" s="27">
        <f t="shared" si="143"/>
        <v>0</v>
      </c>
      <c r="CZ13" s="27">
        <f t="shared" si="5"/>
        <v>84.507042253521135</v>
      </c>
      <c r="DA13" s="27">
        <f t="shared" si="6"/>
        <v>80.281690140845086</v>
      </c>
      <c r="DB13" s="27">
        <f t="shared" si="7"/>
        <v>101.40845070422536</v>
      </c>
      <c r="DC13" s="27">
        <f t="shared" si="8"/>
        <v>74.647887323943664</v>
      </c>
      <c r="DD13" s="27">
        <f t="shared" si="9"/>
        <v>104.22535211267608</v>
      </c>
      <c r="DE13" s="27">
        <f t="shared" si="10"/>
        <v>105.63380281690142</v>
      </c>
      <c r="DF13" s="27">
        <f t="shared" si="11"/>
        <v>118.3098591549296</v>
      </c>
      <c r="DG13" s="27">
        <f t="shared" si="12"/>
        <v>109.85915492957747</v>
      </c>
      <c r="DH13" s="27">
        <f t="shared" si="56"/>
        <v>154.92957746478874</v>
      </c>
      <c r="DI13" s="27">
        <f t="shared" si="13"/>
        <v>104.22535211267608</v>
      </c>
      <c r="DJ13" s="27">
        <f t="shared" si="14"/>
        <v>111.26760563380283</v>
      </c>
      <c r="DK13" s="27">
        <f t="shared" si="15"/>
        <v>102.8169014084507</v>
      </c>
      <c r="DL13" s="27">
        <f t="shared" si="16"/>
        <v>91.549295774647902</v>
      </c>
      <c r="DM13" s="27">
        <f t="shared" si="17"/>
        <v>104.22535211267608</v>
      </c>
      <c r="DN13" s="27">
        <f t="shared" si="18"/>
        <v>88.732394366197184</v>
      </c>
      <c r="DO13" s="27">
        <f t="shared" si="19"/>
        <v>95.774647887323951</v>
      </c>
      <c r="DP13" s="27">
        <f t="shared" si="20"/>
        <v>91.549295774647902</v>
      </c>
      <c r="DQ13" s="27">
        <f t="shared" si="21"/>
        <v>128.16901408450704</v>
      </c>
      <c r="DR13" s="27">
        <f t="shared" si="22"/>
        <v>119.71830985915494</v>
      </c>
      <c r="DS13" s="27">
        <f t="shared" si="23"/>
        <v>102.8169014084507</v>
      </c>
      <c r="DT13" s="27">
        <f t="shared" si="24"/>
        <v>118.3098591549296</v>
      </c>
      <c r="DU13" s="27"/>
      <c r="DV13" s="27"/>
      <c r="DW13" s="27">
        <f t="shared" si="25"/>
        <v>67.605633802816911</v>
      </c>
      <c r="DX13" s="27">
        <f t="shared" si="57"/>
        <v>71.83098591549296</v>
      </c>
      <c r="DY13" s="27">
        <f t="shared" si="26"/>
        <v>67.605633802816911</v>
      </c>
      <c r="DZ13" s="27">
        <f t="shared" si="27"/>
        <v>78.873239436619727</v>
      </c>
      <c r="EA13" s="27">
        <f t="shared" si="28"/>
        <v>105.63380281690142</v>
      </c>
      <c r="EB13" s="27">
        <f t="shared" si="29"/>
        <v>105.63380281690142</v>
      </c>
      <c r="EC13" s="27">
        <f t="shared" si="30"/>
        <v>121.12676056338029</v>
      </c>
      <c r="ED13" s="27">
        <f t="shared" si="31"/>
        <v>122.53521126760563</v>
      </c>
      <c r="EE13" s="27">
        <f t="shared" si="32"/>
        <v>70.422535211267615</v>
      </c>
      <c r="EF13" s="27">
        <f t="shared" si="33"/>
        <v>74.647887323943664</v>
      </c>
      <c r="EG13" s="27">
        <f t="shared" si="34"/>
        <v>73.239436619718319</v>
      </c>
      <c r="EH13" s="27">
        <f t="shared" si="35"/>
        <v>85.91549295774648</v>
      </c>
      <c r="EI13" s="27">
        <f t="shared" si="36"/>
        <v>85.91549295774648</v>
      </c>
      <c r="EJ13" s="27">
        <f t="shared" si="37"/>
        <v>30.985915492957751</v>
      </c>
      <c r="EK13" s="27">
        <f t="shared" si="144"/>
        <v>36.619718309859159</v>
      </c>
      <c r="EL13" s="27">
        <f t="shared" si="38"/>
        <v>40.845070422535215</v>
      </c>
      <c r="EM13" s="27">
        <f t="shared" si="39"/>
        <v>123.94366197183101</v>
      </c>
      <c r="EN13" s="27">
        <f t="shared" si="40"/>
        <v>118.3098591549296</v>
      </c>
      <c r="EO13" s="27">
        <f t="shared" si="149"/>
        <v>183.0985915492958</v>
      </c>
      <c r="EP13" s="27">
        <f t="shared" si="41"/>
        <v>87.323943661971839</v>
      </c>
      <c r="EQ13" s="27">
        <f t="shared" si="58"/>
        <v>70.422535211267615</v>
      </c>
      <c r="ER13" s="27">
        <f t="shared" si="59"/>
        <v>73.239436619718319</v>
      </c>
      <c r="ES13" s="27">
        <f t="shared" si="60"/>
        <v>156.33802816901408</v>
      </c>
      <c r="ET13" s="27">
        <f t="shared" si="61"/>
        <v>142.25352112676057</v>
      </c>
      <c r="EU13" s="27">
        <f t="shared" si="62"/>
        <v>177.46478873239437</v>
      </c>
      <c r="EV13" s="27">
        <f t="shared" si="63"/>
        <v>187.32394366197187</v>
      </c>
      <c r="EW13" s="27">
        <f t="shared" si="64"/>
        <v>43.661971830985919</v>
      </c>
      <c r="EX13" s="27">
        <f t="shared" si="65"/>
        <v>84.507042253521135</v>
      </c>
      <c r="EY13" s="27">
        <f t="shared" si="66"/>
        <v>67.605633802816911</v>
      </c>
      <c r="EZ13" s="27">
        <f t="shared" si="67"/>
        <v>115.49295774647888</v>
      </c>
      <c r="FA13" s="27">
        <f t="shared" si="68"/>
        <v>114.08450704225352</v>
      </c>
      <c r="FB13" s="27">
        <f t="shared" si="69"/>
        <v>104.22535211267608</v>
      </c>
      <c r="FC13" s="31">
        <f t="shared" si="145"/>
        <v>26.350710900473931</v>
      </c>
      <c r="FD13" s="31">
        <f t="shared" ref="FD13:FD21" si="151">BW14/B14</f>
        <v>27.203791469194311</v>
      </c>
      <c r="FE13" s="31">
        <f t="shared" si="137"/>
        <v>32.890995260663502</v>
      </c>
      <c r="FF13" s="31">
        <f t="shared" si="150"/>
        <v>98.591549295774655</v>
      </c>
      <c r="FG13" s="31">
        <f t="shared" si="70"/>
        <v>109.57746478873241</v>
      </c>
      <c r="FH13" s="31"/>
      <c r="FI13" s="31"/>
      <c r="FJ13" s="31">
        <f t="shared" si="43"/>
        <v>0</v>
      </c>
      <c r="FK13" s="31"/>
      <c r="FL13" s="31">
        <f t="shared" si="44"/>
        <v>59.154929577464799</v>
      </c>
      <c r="FM13" s="31">
        <f t="shared" si="45"/>
        <v>69.01408450704227</v>
      </c>
      <c r="FN13" s="31">
        <f t="shared" si="46"/>
        <v>47.887323943661976</v>
      </c>
      <c r="FO13" s="31">
        <f t="shared" si="47"/>
        <v>109.71830985915494</v>
      </c>
      <c r="FP13" s="31">
        <f t="shared" si="48"/>
        <v>46.901408450704231</v>
      </c>
      <c r="FQ13" s="31">
        <f t="shared" si="49"/>
        <v>29.014084507042256</v>
      </c>
      <c r="FR13" s="31">
        <f t="shared" si="50"/>
        <v>25.211267605633804</v>
      </c>
      <c r="FS13" s="3">
        <v>0.3</v>
      </c>
      <c r="FT13" s="29">
        <f>FS13/B13</f>
        <v>4.2253521126760569</v>
      </c>
      <c r="FU13" s="34">
        <v>21.75</v>
      </c>
      <c r="FV13" s="34">
        <v>21.65</v>
      </c>
      <c r="FW13" s="34">
        <v>8.3699999999999992</v>
      </c>
      <c r="FX13" s="34">
        <v>1.02</v>
      </c>
      <c r="FY13" s="34">
        <v>0.89</v>
      </c>
      <c r="FZ13" s="34">
        <v>0.11</v>
      </c>
      <c r="GA13" s="34">
        <v>0.43</v>
      </c>
      <c r="GB13" s="34">
        <v>0.84</v>
      </c>
      <c r="GC13" s="34">
        <v>1.1000000000000001</v>
      </c>
      <c r="GD13" s="34">
        <v>0.9</v>
      </c>
      <c r="GE13" s="34">
        <v>1.2</v>
      </c>
      <c r="GF13" s="3">
        <v>2</v>
      </c>
      <c r="GG13" s="3">
        <v>2.7</v>
      </c>
      <c r="GH13" s="23" t="s">
        <v>22</v>
      </c>
      <c r="GI13" s="23"/>
      <c r="GJ13" s="23"/>
      <c r="GK13" s="23"/>
      <c r="GL13" s="36">
        <v>7.0999999999999994E-2</v>
      </c>
      <c r="GM13" s="37">
        <f>FU13/GL13</f>
        <v>306.33802816901414</v>
      </c>
      <c r="GN13" s="37">
        <f t="shared" si="124"/>
        <v>304.92957746478874</v>
      </c>
      <c r="GO13" s="37">
        <f t="shared" si="125"/>
        <v>117.88732394366197</v>
      </c>
      <c r="GP13" s="37">
        <f t="shared" si="126"/>
        <v>14.366197183098594</v>
      </c>
      <c r="GQ13" s="37">
        <f t="shared" si="127"/>
        <v>12.535211267605636</v>
      </c>
      <c r="GR13" s="37">
        <f t="shared" si="128"/>
        <v>1.5492957746478875</v>
      </c>
      <c r="GS13" s="37">
        <f t="shared" si="129"/>
        <v>6.0563380281690149</v>
      </c>
      <c r="GT13" s="37">
        <f t="shared" si="130"/>
        <v>11.830985915492958</v>
      </c>
      <c r="GU13" s="37">
        <f t="shared" si="131"/>
        <v>15.492957746478876</v>
      </c>
      <c r="GV13" s="37">
        <f t="shared" si="132"/>
        <v>12.67605633802817</v>
      </c>
      <c r="GW13" s="37">
        <f t="shared" si="133"/>
        <v>16.901408450704228</v>
      </c>
      <c r="GX13" s="37">
        <f>GF13/GL13</f>
        <v>28.169014084507044</v>
      </c>
      <c r="GY13" s="37">
        <f>GG13/GL13</f>
        <v>38.028169014084511</v>
      </c>
      <c r="GZ13" s="37"/>
      <c r="HA13" s="50"/>
      <c r="HB13" s="50"/>
      <c r="HC13" s="50"/>
      <c r="HD13" s="23" t="s">
        <v>22</v>
      </c>
      <c r="HE13" s="36">
        <v>7.0999999999999994E-2</v>
      </c>
      <c r="HG13" s="3">
        <f t="shared" si="75"/>
        <v>28.169014084507044</v>
      </c>
      <c r="HH13" s="3">
        <f t="shared" si="76"/>
        <v>28.169014084507044</v>
      </c>
      <c r="HI13" s="3">
        <f t="shared" si="77"/>
        <v>42.253521126760567</v>
      </c>
      <c r="HJ13" s="3">
        <f t="shared" si="52"/>
        <v>1.875</v>
      </c>
      <c r="HK13" s="3">
        <f t="shared" si="52"/>
        <v>6.6562499999999997E-2</v>
      </c>
      <c r="HL13" s="3">
        <f t="shared" si="52"/>
        <v>1</v>
      </c>
      <c r="HM13" s="3">
        <f t="shared" si="52"/>
        <v>2.6</v>
      </c>
      <c r="HN13" s="3">
        <f t="shared" si="52"/>
        <v>1.3333333333333333</v>
      </c>
      <c r="HO13" s="3">
        <f t="shared" si="52"/>
        <v>0.91666666666666663</v>
      </c>
      <c r="HP13" s="3">
        <f t="shared" si="52"/>
        <v>2.1999999999999997</v>
      </c>
      <c r="HQ13" s="3">
        <f t="shared" si="52"/>
        <v>0.41666666666666669</v>
      </c>
      <c r="HR13" s="3">
        <f t="shared" si="78"/>
        <v>0</v>
      </c>
      <c r="HS13" s="3">
        <f t="shared" si="79"/>
        <v>0.5</v>
      </c>
      <c r="HT13" s="3">
        <f t="shared" si="80"/>
        <v>0</v>
      </c>
      <c r="HU13" s="3">
        <f t="shared" si="81"/>
        <v>0.90909090909090917</v>
      </c>
      <c r="HV13" s="36">
        <v>7.0999999999999994E-2</v>
      </c>
      <c r="HW13" s="56"/>
      <c r="HX13" s="23" t="s">
        <v>22</v>
      </c>
      <c r="HZ13" s="63">
        <v>0.31967591025297715</v>
      </c>
      <c r="IA13" s="63">
        <v>1.3453154012819057</v>
      </c>
      <c r="IB13" s="63">
        <v>1.1458827920534151</v>
      </c>
      <c r="IC13" s="63">
        <v>1.7496993988303264</v>
      </c>
      <c r="ID13" s="63">
        <v>0.19483548063958067</v>
      </c>
      <c r="IE13" s="63">
        <v>0.2077763059507054</v>
      </c>
      <c r="IF13" s="63">
        <v>0.50281115407742594</v>
      </c>
      <c r="IG13" s="63">
        <v>4.9913304912505681E-2</v>
      </c>
      <c r="IH13" s="63">
        <v>0.94095258990754371</v>
      </c>
      <c r="II13" s="64">
        <v>0.27204208476385</v>
      </c>
      <c r="IJ13" s="63">
        <v>0.54382032391097124</v>
      </c>
      <c r="IK13" s="63">
        <v>84.915819516044394</v>
      </c>
      <c r="IL13" s="63">
        <v>0.36141466146620144</v>
      </c>
      <c r="IM13" s="63">
        <v>0.28185135099661784</v>
      </c>
      <c r="IN13" s="63">
        <v>3.319947099232317E-2</v>
      </c>
      <c r="IO13" s="63">
        <v>0.20845559072043199</v>
      </c>
      <c r="IP13" s="63">
        <v>0.34656215847716865</v>
      </c>
      <c r="IQ13" s="63">
        <v>0.65925454020108243</v>
      </c>
      <c r="IR13" s="63">
        <v>0.75823000785032935</v>
      </c>
      <c r="IS13" s="63">
        <v>0.44061155313924322</v>
      </c>
      <c r="IT13" s="63">
        <v>0.64093261051927608</v>
      </c>
      <c r="IU13" s="63">
        <v>0.21194804583736934</v>
      </c>
      <c r="IV13" s="63"/>
      <c r="IW13" s="67">
        <v>6.2254991256254124</v>
      </c>
      <c r="IX13" s="67">
        <v>0.26441303163191471</v>
      </c>
      <c r="IY13" s="67">
        <v>0.42518124604243762</v>
      </c>
      <c r="JA13" s="63">
        <v>0.70166116561776104</v>
      </c>
      <c r="JB13" s="63">
        <v>0.58668880585944527</v>
      </c>
      <c r="JC13" s="63">
        <v>0.27737788571730737</v>
      </c>
      <c r="JD13" s="63">
        <v>0.48840140799670073</v>
      </c>
      <c r="JE13" s="63">
        <v>1.4212298592527</v>
      </c>
      <c r="JF13" s="63">
        <v>0.93442523104857012</v>
      </c>
      <c r="JG13" s="63">
        <v>0.68260348050473385</v>
      </c>
      <c r="JH13" s="63">
        <v>1.3575878178134855</v>
      </c>
      <c r="JI13" s="63">
        <v>1.0342326793919829</v>
      </c>
      <c r="JJ13" s="63">
        <v>1.2024264084498095</v>
      </c>
      <c r="JK13" s="63">
        <v>0.82799973789514902</v>
      </c>
      <c r="JL13" s="63">
        <v>1.0802954797135296</v>
      </c>
      <c r="JM13" s="63">
        <v>1.196681121864726</v>
      </c>
      <c r="JN13" s="63">
        <v>3.6049131978647595</v>
      </c>
      <c r="JO13" s="63">
        <v>1.0996251340920988</v>
      </c>
      <c r="JP13" s="63">
        <v>1.4402557369427835</v>
      </c>
      <c r="JQ13" s="63">
        <v>1.527112154361729</v>
      </c>
      <c r="JS13" s="69"/>
      <c r="JT13" s="69"/>
      <c r="JV13" s="73">
        <f t="shared" si="82"/>
        <v>4.5024776091968617</v>
      </c>
      <c r="JW13" s="73">
        <f t="shared" si="83"/>
        <v>18.948104243407126</v>
      </c>
      <c r="JX13" s="73">
        <f t="shared" si="84"/>
        <v>16.139194254273455</v>
      </c>
      <c r="JY13" s="73">
        <f t="shared" si="85"/>
        <v>24.643653504652487</v>
      </c>
      <c r="JZ13" s="73">
        <f t="shared" si="86"/>
        <v>2.7441616991490236</v>
      </c>
      <c r="KA13" s="73">
        <f t="shared" si="87"/>
        <v>2.9264268443761328</v>
      </c>
      <c r="KB13" s="73">
        <f t="shared" si="88"/>
        <v>7.0818472405271269</v>
      </c>
      <c r="KC13" s="73">
        <f t="shared" si="89"/>
        <v>0.7030042945423336</v>
      </c>
      <c r="KD13" s="73">
        <f t="shared" si="90"/>
        <v>13.25285337897949</v>
      </c>
      <c r="KE13" s="73">
        <f t="shared" si="91"/>
        <v>3.8315786586457752</v>
      </c>
      <c r="KF13" s="73">
        <f t="shared" si="92"/>
        <v>7.6594411818446657</v>
      </c>
      <c r="KG13" s="73">
        <f t="shared" si="93"/>
        <v>1195.9974579724565</v>
      </c>
      <c r="KH13" s="73">
        <f t="shared" si="94"/>
        <v>5.0903473445943872</v>
      </c>
      <c r="KI13" s="73">
        <f t="shared" si="95"/>
        <v>3.9697373379805332</v>
      </c>
      <c r="KJ13" s="73">
        <f t="shared" si="96"/>
        <v>0.46759818299046724</v>
      </c>
      <c r="KK13" s="73">
        <f t="shared" si="97"/>
        <v>2.9359942354990425</v>
      </c>
      <c r="KL13" s="73">
        <f t="shared" si="98"/>
        <v>4.8811571616502629</v>
      </c>
      <c r="KM13" s="73">
        <f t="shared" si="99"/>
        <v>9.2852752140997534</v>
      </c>
      <c r="KN13" s="73">
        <f t="shared" si="100"/>
        <v>10.679295885215907</v>
      </c>
      <c r="KO13" s="73">
        <f t="shared" si="101"/>
        <v>6.2057965230879333</v>
      </c>
      <c r="KP13" s="73">
        <f t="shared" si="102"/>
        <v>9.0272198664686787</v>
      </c>
      <c r="KQ13" s="73">
        <f t="shared" si="103"/>
        <v>2.9851837441883009</v>
      </c>
      <c r="KS13" s="66">
        <f t="shared" si="104"/>
        <v>87.683086276414272</v>
      </c>
      <c r="KT13" s="66">
        <f t="shared" si="105"/>
        <v>3.7241272060833062</v>
      </c>
      <c r="KU13" s="66">
        <f t="shared" si="106"/>
        <v>5.9884682541188399</v>
      </c>
      <c r="KW13" s="32">
        <f t="shared" si="107"/>
        <v>9.8825516284191703</v>
      </c>
      <c r="KX13" s="32">
        <f t="shared" si="108"/>
        <v>8.2632226177386663</v>
      </c>
      <c r="KY13" s="32">
        <f t="shared" si="109"/>
        <v>3.9067307847508084</v>
      </c>
      <c r="KZ13" s="32">
        <f t="shared" si="110"/>
        <v>6.8788930703760673</v>
      </c>
      <c r="LA13" s="32">
        <f t="shared" si="111"/>
        <v>20.017321961305633</v>
      </c>
      <c r="LB13" s="32">
        <f t="shared" si="112"/>
        <v>13.160918747162961</v>
      </c>
      <c r="LC13" s="32">
        <f t="shared" si="113"/>
        <v>9.6141335282356888</v>
      </c>
      <c r="LD13" s="32">
        <f t="shared" si="114"/>
        <v>19.120955180471629</v>
      </c>
      <c r="LE13" s="32">
        <f t="shared" si="115"/>
        <v>14.566657456225114</v>
      </c>
      <c r="LF13" s="32">
        <f t="shared" si="116"/>
        <v>16.935583217602954</v>
      </c>
      <c r="LG13" s="32">
        <f t="shared" si="117"/>
        <v>11.661968139368296</v>
      </c>
      <c r="LH13" s="32">
        <f t="shared" si="118"/>
        <v>15.215429291739854</v>
      </c>
      <c r="LI13" s="32">
        <f t="shared" si="119"/>
        <v>16.854663688235579</v>
      </c>
      <c r="LJ13" s="32">
        <f t="shared" si="120"/>
        <v>50.773425322038868</v>
      </c>
      <c r="LK13" s="32">
        <f t="shared" si="121"/>
        <v>15.48767794495914</v>
      </c>
      <c r="LL13" s="32">
        <f t="shared" si="122"/>
        <v>20.28529206961667</v>
      </c>
      <c r="LM13" s="32">
        <f t="shared" si="123"/>
        <v>21.50862189241872</v>
      </c>
    </row>
    <row r="14" spans="1:325" s="7" customFormat="1" x14ac:dyDescent="0.3">
      <c r="A14" s="15" t="s">
        <v>6</v>
      </c>
      <c r="B14" s="59">
        <v>21.1</v>
      </c>
      <c r="C14" s="7">
        <v>660</v>
      </c>
      <c r="D14" s="57">
        <f t="shared" si="0"/>
        <v>31.279620853080566</v>
      </c>
      <c r="E14">
        <v>284</v>
      </c>
      <c r="F14">
        <v>266</v>
      </c>
      <c r="G14">
        <v>308</v>
      </c>
      <c r="H14">
        <v>235</v>
      </c>
      <c r="I14">
        <v>295</v>
      </c>
      <c r="J14">
        <v>261</v>
      </c>
      <c r="K14">
        <v>269</v>
      </c>
      <c r="L14">
        <v>366</v>
      </c>
      <c r="M14">
        <v>348</v>
      </c>
      <c r="N14">
        <v>364</v>
      </c>
      <c r="O14">
        <v>371</v>
      </c>
      <c r="P14">
        <v>384</v>
      </c>
      <c r="Q14">
        <v>376</v>
      </c>
      <c r="R14">
        <v>368</v>
      </c>
      <c r="S14">
        <v>347</v>
      </c>
      <c r="T14">
        <v>319</v>
      </c>
      <c r="U14">
        <v>340</v>
      </c>
      <c r="V14">
        <v>344</v>
      </c>
      <c r="W14">
        <v>330</v>
      </c>
      <c r="X14">
        <v>351</v>
      </c>
      <c r="Y14">
        <v>303</v>
      </c>
      <c r="Z14">
        <v>309</v>
      </c>
      <c r="AA14">
        <v>303</v>
      </c>
      <c r="AB14">
        <v>319</v>
      </c>
      <c r="AC14">
        <v>311</v>
      </c>
      <c r="AD14">
        <v>315</v>
      </c>
      <c r="AE14">
        <v>323</v>
      </c>
      <c r="AF14">
        <v>322</v>
      </c>
      <c r="AG14">
        <v>316</v>
      </c>
      <c r="AH14">
        <v>329</v>
      </c>
      <c r="AI14">
        <v>330</v>
      </c>
      <c r="AJ14">
        <v>364</v>
      </c>
      <c r="AK14">
        <v>313</v>
      </c>
      <c r="AL14">
        <v>314</v>
      </c>
      <c r="AM14">
        <v>301</v>
      </c>
      <c r="AN14">
        <v>359</v>
      </c>
      <c r="AO14">
        <v>318</v>
      </c>
      <c r="AP14">
        <v>305</v>
      </c>
      <c r="AQ14">
        <v>310</v>
      </c>
      <c r="AR14">
        <v>373</v>
      </c>
      <c r="AS14">
        <v>311</v>
      </c>
      <c r="AT14">
        <v>316</v>
      </c>
      <c r="AU14">
        <v>309</v>
      </c>
      <c r="AV14">
        <v>314</v>
      </c>
      <c r="AW14">
        <v>319</v>
      </c>
      <c r="AX14">
        <v>306</v>
      </c>
      <c r="AY14">
        <v>303</v>
      </c>
      <c r="AZ14">
        <v>337</v>
      </c>
      <c r="BA14">
        <v>309</v>
      </c>
      <c r="BB14">
        <v>323</v>
      </c>
      <c r="BC14">
        <v>328</v>
      </c>
      <c r="BD14">
        <v>376</v>
      </c>
      <c r="BE14">
        <v>375</v>
      </c>
      <c r="BF14">
        <v>384</v>
      </c>
      <c r="BG14">
        <v>324</v>
      </c>
      <c r="BH14">
        <v>312</v>
      </c>
      <c r="BI14">
        <v>314</v>
      </c>
      <c r="BJ14">
        <v>285</v>
      </c>
      <c r="BK14">
        <v>293</v>
      </c>
      <c r="BL14">
        <v>261</v>
      </c>
      <c r="BM14">
        <v>294</v>
      </c>
      <c r="BN14">
        <v>282</v>
      </c>
      <c r="BO14">
        <v>251</v>
      </c>
      <c r="BP14">
        <v>251</v>
      </c>
      <c r="BQ14">
        <v>251</v>
      </c>
      <c r="BR14">
        <v>227</v>
      </c>
      <c r="BS14">
        <v>237</v>
      </c>
      <c r="BT14">
        <v>210</v>
      </c>
      <c r="BU14">
        <v>355</v>
      </c>
      <c r="BV14">
        <v>556</v>
      </c>
      <c r="BW14">
        <v>574</v>
      </c>
      <c r="BX14">
        <v>694</v>
      </c>
      <c r="BY14">
        <v>752</v>
      </c>
      <c r="BZ14">
        <v>725</v>
      </c>
      <c r="CA14">
        <v>482</v>
      </c>
      <c r="CB14">
        <v>503</v>
      </c>
      <c r="CC14">
        <v>431</v>
      </c>
      <c r="CD14">
        <v>1214</v>
      </c>
      <c r="CE14">
        <v>253</v>
      </c>
      <c r="CF14">
        <v>564</v>
      </c>
      <c r="CG14">
        <v>758</v>
      </c>
      <c r="CH14">
        <v>391</v>
      </c>
      <c r="CI14" s="7">
        <v>319</v>
      </c>
      <c r="CJ14" s="7">
        <v>995</v>
      </c>
      <c r="CK14" s="7">
        <v>232</v>
      </c>
      <c r="CL14" s="27">
        <f t="shared" si="147"/>
        <v>13.459715639810426</v>
      </c>
      <c r="CM14" s="27">
        <f t="shared" si="1"/>
        <v>12.606635071090047</v>
      </c>
      <c r="CN14" s="27">
        <f t="shared" si="138"/>
        <v>14.597156398104264</v>
      </c>
      <c r="CO14" s="27">
        <f t="shared" si="139"/>
        <v>11.137440758293838</v>
      </c>
      <c r="CP14" s="27">
        <f t="shared" si="148"/>
        <v>13.981042654028435</v>
      </c>
      <c r="CQ14" s="27">
        <f t="shared" si="140"/>
        <v>12.369668246445498</v>
      </c>
      <c r="CR14" s="27">
        <f t="shared" si="2"/>
        <v>12.748815165876776</v>
      </c>
      <c r="CS14" s="27">
        <f t="shared" si="55"/>
        <v>16.492890995260662</v>
      </c>
      <c r="CT14" s="27">
        <f t="shared" si="3"/>
        <v>16.492890995260662</v>
      </c>
      <c r="CU14" s="27">
        <f t="shared" si="141"/>
        <v>17.251184834123222</v>
      </c>
      <c r="CV14" s="27">
        <f t="shared" si="4"/>
        <v>17.582938388625593</v>
      </c>
      <c r="CW14" s="27">
        <f t="shared" ref="CW14:CW25" si="152">P14/B14</f>
        <v>18.199052132701421</v>
      </c>
      <c r="CX14" s="27">
        <f t="shared" si="142"/>
        <v>17.81990521327014</v>
      </c>
      <c r="CY14" s="27">
        <f t="shared" si="143"/>
        <v>17.440758293838861</v>
      </c>
      <c r="CZ14" s="27">
        <f t="shared" si="5"/>
        <v>16.445497630331751</v>
      </c>
      <c r="DA14" s="27">
        <f t="shared" si="6"/>
        <v>15.118483412322274</v>
      </c>
      <c r="DB14" s="27">
        <f t="shared" si="7"/>
        <v>16.113744075829384</v>
      </c>
      <c r="DC14" s="27">
        <f t="shared" si="8"/>
        <v>16.303317535545023</v>
      </c>
      <c r="DD14" s="27">
        <f t="shared" si="9"/>
        <v>15.639810426540283</v>
      </c>
      <c r="DE14" s="27">
        <f t="shared" si="10"/>
        <v>16.635071090047393</v>
      </c>
      <c r="DF14" s="27">
        <f t="shared" si="11"/>
        <v>14.360189573459715</v>
      </c>
      <c r="DG14" s="27">
        <f t="shared" si="12"/>
        <v>14.644549763033174</v>
      </c>
      <c r="DH14" s="27">
        <f t="shared" si="56"/>
        <v>14.360189573459715</v>
      </c>
      <c r="DI14" s="27">
        <f t="shared" si="13"/>
        <v>15.118483412322274</v>
      </c>
      <c r="DJ14" s="27">
        <f t="shared" si="14"/>
        <v>14.739336492890994</v>
      </c>
      <c r="DK14" s="27">
        <f t="shared" si="15"/>
        <v>14.928909952606634</v>
      </c>
      <c r="DL14" s="27">
        <f t="shared" si="16"/>
        <v>15.308056872037914</v>
      </c>
      <c r="DM14" s="27">
        <f t="shared" si="17"/>
        <v>15.260663507109003</v>
      </c>
      <c r="DN14" s="27">
        <f t="shared" si="18"/>
        <v>14.976303317535544</v>
      </c>
      <c r="DO14" s="27">
        <f t="shared" si="19"/>
        <v>15.592417061611373</v>
      </c>
      <c r="DP14" s="27">
        <f t="shared" si="20"/>
        <v>15.639810426540283</v>
      </c>
      <c r="DQ14" s="27">
        <f t="shared" si="21"/>
        <v>17.251184834123222</v>
      </c>
      <c r="DR14" s="27">
        <f t="shared" si="22"/>
        <v>14.834123222748815</v>
      </c>
      <c r="DS14" s="27">
        <f t="shared" si="23"/>
        <v>14.881516587677725</v>
      </c>
      <c r="DT14" s="27">
        <f t="shared" si="24"/>
        <v>14.265402843601894</v>
      </c>
      <c r="DU14" s="27">
        <f>AN14/B14</f>
        <v>17.014218009478672</v>
      </c>
      <c r="DV14" s="27">
        <f>AO14/B14</f>
        <v>15.071090047393364</v>
      </c>
      <c r="DW14" s="27">
        <f t="shared" si="25"/>
        <v>14.454976303317535</v>
      </c>
      <c r="DX14" s="27">
        <f t="shared" si="57"/>
        <v>14.691943127962084</v>
      </c>
      <c r="DY14" s="27">
        <f t="shared" si="26"/>
        <v>17.677725118483412</v>
      </c>
      <c r="DZ14" s="27">
        <f t="shared" si="27"/>
        <v>14.739336492890994</v>
      </c>
      <c r="EA14" s="27">
        <f t="shared" si="28"/>
        <v>14.976303317535544</v>
      </c>
      <c r="EB14" s="27">
        <f t="shared" si="29"/>
        <v>14.644549763033174</v>
      </c>
      <c r="EC14" s="27">
        <f t="shared" si="30"/>
        <v>14.881516587677725</v>
      </c>
      <c r="ED14" s="27">
        <f t="shared" si="31"/>
        <v>15.118483412322274</v>
      </c>
      <c r="EE14" s="27">
        <f t="shared" si="32"/>
        <v>14.502369668246445</v>
      </c>
      <c r="EF14" s="27">
        <f t="shared" si="33"/>
        <v>14.360189573459715</v>
      </c>
      <c r="EG14" s="27">
        <f t="shared" si="34"/>
        <v>15.971563981042653</v>
      </c>
      <c r="EH14" s="27">
        <f t="shared" si="35"/>
        <v>14.644549763033174</v>
      </c>
      <c r="EI14" s="27">
        <f t="shared" si="36"/>
        <v>15.308056872037914</v>
      </c>
      <c r="EJ14" s="27">
        <f t="shared" si="37"/>
        <v>15.545023696682463</v>
      </c>
      <c r="EK14" s="27">
        <f t="shared" si="144"/>
        <v>17.81990521327014</v>
      </c>
      <c r="EL14" s="27">
        <f t="shared" si="38"/>
        <v>17.772511848341232</v>
      </c>
      <c r="EM14" s="27">
        <f t="shared" si="39"/>
        <v>18.199052132701421</v>
      </c>
      <c r="EN14" s="27">
        <f t="shared" si="40"/>
        <v>15.355450236966824</v>
      </c>
      <c r="EO14" s="27">
        <f t="shared" si="149"/>
        <v>14.786729857819903</v>
      </c>
      <c r="EP14" s="27">
        <f t="shared" si="41"/>
        <v>14.881516587677725</v>
      </c>
      <c r="EQ14" s="27">
        <f t="shared" si="58"/>
        <v>13.507109004739336</v>
      </c>
      <c r="ER14" s="27">
        <f t="shared" si="59"/>
        <v>13.886255924170616</v>
      </c>
      <c r="ES14" s="27">
        <f t="shared" si="60"/>
        <v>12.369668246445498</v>
      </c>
      <c r="ET14" s="27">
        <f t="shared" si="61"/>
        <v>13.933649289099526</v>
      </c>
      <c r="EU14" s="27">
        <f t="shared" si="62"/>
        <v>13.364928909952607</v>
      </c>
      <c r="EV14" s="27">
        <f t="shared" si="63"/>
        <v>11.895734597156398</v>
      </c>
      <c r="EW14" s="27">
        <f t="shared" si="64"/>
        <v>11.895734597156398</v>
      </c>
      <c r="EX14" s="27">
        <f t="shared" si="65"/>
        <v>11.895734597156398</v>
      </c>
      <c r="EY14" s="27">
        <f t="shared" si="66"/>
        <v>10.758293838862558</v>
      </c>
      <c r="EZ14" s="27">
        <f t="shared" si="67"/>
        <v>11.232227488151658</v>
      </c>
      <c r="FA14" s="27">
        <f t="shared" si="68"/>
        <v>9.9526066350710902</v>
      </c>
      <c r="FB14" s="27">
        <f t="shared" si="69"/>
        <v>16.824644549763033</v>
      </c>
      <c r="FC14" s="31">
        <f t="shared" si="145"/>
        <v>21.100917431192663</v>
      </c>
      <c r="FD14" s="31">
        <f t="shared" si="151"/>
        <v>22.477064220183486</v>
      </c>
      <c r="FE14" s="31">
        <f t="shared" si="137"/>
        <v>23.394495412844037</v>
      </c>
      <c r="FF14" s="31">
        <f t="shared" si="150"/>
        <v>35.639810426540279</v>
      </c>
      <c r="FG14" s="31">
        <f t="shared" si="70"/>
        <v>34.360189573459714</v>
      </c>
      <c r="FH14" s="31">
        <f t="shared" ref="FH14:FH25" si="153">CA14/B14</f>
        <v>22.843601895734597</v>
      </c>
      <c r="FI14" s="31">
        <f t="shared" ref="FI14:FI21" si="154">CB14/B14</f>
        <v>23.838862559241704</v>
      </c>
      <c r="FJ14" s="31">
        <f t="shared" si="43"/>
        <v>20.42654028436019</v>
      </c>
      <c r="FK14" s="31">
        <f t="shared" ref="FK14:FK25" si="155">CD14/B14</f>
        <v>57.535545023696677</v>
      </c>
      <c r="FL14" s="31">
        <f t="shared" si="44"/>
        <v>11.990521327014218</v>
      </c>
      <c r="FM14" s="31">
        <f t="shared" si="45"/>
        <v>26.729857819905213</v>
      </c>
      <c r="FN14" s="31">
        <f t="shared" si="46"/>
        <v>35.924170616113742</v>
      </c>
      <c r="FO14" s="31">
        <f t="shared" si="47"/>
        <v>18.530805687203792</v>
      </c>
      <c r="FP14" s="31">
        <f t="shared" si="48"/>
        <v>15.118483412322274</v>
      </c>
      <c r="FQ14" s="31">
        <f t="shared" si="49"/>
        <v>47.156398104265399</v>
      </c>
      <c r="FR14" s="31">
        <f t="shared" si="50"/>
        <v>10.995260663507109</v>
      </c>
      <c r="FS14" s="7">
        <v>90</v>
      </c>
      <c r="FT14" s="29">
        <f>FS14/B14</f>
        <v>4.2654028436018958</v>
      </c>
      <c r="FU14" s="34">
        <v>31.78</v>
      </c>
      <c r="FV14" s="34">
        <v>23.35</v>
      </c>
      <c r="FW14" s="34">
        <v>36.979999999999997</v>
      </c>
      <c r="FX14" s="34">
        <v>29.3</v>
      </c>
      <c r="FY14" s="34">
        <v>8.57</v>
      </c>
      <c r="FZ14" s="34">
        <v>11.1</v>
      </c>
      <c r="GA14" s="34">
        <v>7.85</v>
      </c>
      <c r="GB14" s="34">
        <v>9.26</v>
      </c>
      <c r="GC14" s="34">
        <v>6.7</v>
      </c>
      <c r="GD14" s="34">
        <v>3.2</v>
      </c>
      <c r="GE14" s="34">
        <v>18.2</v>
      </c>
      <c r="GF14" s="7">
        <v>790</v>
      </c>
      <c r="GG14" s="7">
        <v>912</v>
      </c>
      <c r="GH14" s="15" t="s">
        <v>6</v>
      </c>
      <c r="GI14" s="15">
        <v>874</v>
      </c>
      <c r="GJ14" s="15">
        <v>47.6</v>
      </c>
      <c r="GK14" s="15">
        <v>46</v>
      </c>
      <c r="GL14" s="36">
        <v>21.1</v>
      </c>
      <c r="GM14" s="37">
        <f t="shared" si="146"/>
        <v>1.5061611374407582</v>
      </c>
      <c r="GN14" s="37">
        <f t="shared" si="124"/>
        <v>1.1066350710900474</v>
      </c>
      <c r="GO14" s="37">
        <f t="shared" si="125"/>
        <v>1.7526066350710898</v>
      </c>
      <c r="GP14" s="37">
        <f t="shared" si="126"/>
        <v>1.3886255924170616</v>
      </c>
      <c r="GQ14" s="37">
        <f t="shared" si="127"/>
        <v>0.40616113744075827</v>
      </c>
      <c r="GR14" s="37">
        <f t="shared" si="128"/>
        <v>0.52606635071090047</v>
      </c>
      <c r="GS14" s="37">
        <f t="shared" si="129"/>
        <v>0.37203791469194308</v>
      </c>
      <c r="GT14" s="37">
        <f t="shared" si="130"/>
        <v>0.43886255924170614</v>
      </c>
      <c r="GU14" s="37">
        <f t="shared" si="131"/>
        <v>0.31753554502369669</v>
      </c>
      <c r="GV14" s="37">
        <f t="shared" si="132"/>
        <v>0.15165876777251186</v>
      </c>
      <c r="GW14" s="37">
        <f t="shared" si="133"/>
        <v>0.86255924170616105</v>
      </c>
      <c r="GX14" s="37">
        <f>GF14/GL14</f>
        <v>37.440758293838861</v>
      </c>
      <c r="GY14" s="37">
        <f>GG14/GL14</f>
        <v>43.222748815165872</v>
      </c>
      <c r="GZ14" s="37">
        <f t="shared" si="134"/>
        <v>41.421800947867297</v>
      </c>
      <c r="HA14" s="50">
        <f>GI14/B14</f>
        <v>41.421800947867297</v>
      </c>
      <c r="HB14" s="50">
        <f t="shared" si="135"/>
        <v>2.2559241706161135</v>
      </c>
      <c r="HC14" s="50">
        <f t="shared" si="136"/>
        <v>2.1800947867298577</v>
      </c>
      <c r="HD14" s="15" t="s">
        <v>6</v>
      </c>
      <c r="HE14" s="36">
        <v>21.1</v>
      </c>
      <c r="HG14" s="3">
        <f t="shared" si="75"/>
        <v>12.606635071090047</v>
      </c>
      <c r="HH14" s="3">
        <f t="shared" si="76"/>
        <v>12.606635071090047</v>
      </c>
      <c r="HI14" s="3">
        <f t="shared" si="77"/>
        <v>14.597156398104264</v>
      </c>
      <c r="HJ14" s="3">
        <f t="shared" si="52"/>
        <v>0.35606060606060608</v>
      </c>
      <c r="HK14" s="3">
        <f t="shared" si="52"/>
        <v>9.4310606060606066</v>
      </c>
      <c r="HL14" s="3">
        <f t="shared" si="52"/>
        <v>0.91901408450704225</v>
      </c>
      <c r="HM14" s="3">
        <f t="shared" si="52"/>
        <v>1.0112781954887218</v>
      </c>
      <c r="HN14" s="3">
        <f t="shared" si="52"/>
        <v>1.1883116883116882</v>
      </c>
      <c r="HO14" s="3">
        <f t="shared" si="52"/>
        <v>1.4808510638297872</v>
      </c>
      <c r="HP14" s="3">
        <f t="shared" si="52"/>
        <v>1.2338983050847459</v>
      </c>
      <c r="HQ14" s="3">
        <f t="shared" si="52"/>
        <v>1.421455938697318</v>
      </c>
      <c r="HR14" s="3">
        <f t="shared" si="78"/>
        <v>1.4275092936802973</v>
      </c>
      <c r="HS14" s="3">
        <f t="shared" si="79"/>
        <v>1.0273224043715847</v>
      </c>
      <c r="HT14" s="3">
        <f t="shared" si="80"/>
        <v>1.0574712643678161</v>
      </c>
      <c r="HU14" s="3">
        <f t="shared" si="81"/>
        <v>0.95329670329670335</v>
      </c>
      <c r="HV14" s="36">
        <v>21.1</v>
      </c>
      <c r="HW14" s="56"/>
      <c r="HX14" s="15" t="s">
        <v>6</v>
      </c>
      <c r="HZ14" s="63">
        <v>75.408688368844324</v>
      </c>
      <c r="IA14" s="63">
        <v>85.217860163196661</v>
      </c>
      <c r="IB14" s="63">
        <v>52.351436801177179</v>
      </c>
      <c r="IC14" s="63">
        <v>73.104849267768685</v>
      </c>
      <c r="ID14" s="63">
        <v>92.650601497599197</v>
      </c>
      <c r="IE14" s="63">
        <v>23.420207965608306</v>
      </c>
      <c r="IF14" s="63">
        <v>45.710045307992367</v>
      </c>
      <c r="IG14" s="63">
        <v>24.537172897593837</v>
      </c>
      <c r="IH14" s="63">
        <v>60.591225534129116</v>
      </c>
      <c r="II14" s="63">
        <v>26.359133450187304</v>
      </c>
      <c r="IJ14" s="63">
        <v>71.314257370634266</v>
      </c>
      <c r="IK14" s="63">
        <v>70.129208721517472</v>
      </c>
      <c r="IL14" s="63">
        <v>16.392675065064193</v>
      </c>
      <c r="IM14" s="63">
        <v>23.110384828750099</v>
      </c>
      <c r="IN14" s="63">
        <v>7.9470356719020732</v>
      </c>
      <c r="IO14" s="63">
        <v>54.543171584205432</v>
      </c>
      <c r="IP14" s="63">
        <v>59.574258476311627</v>
      </c>
      <c r="IQ14" s="63">
        <v>84.255943144940531</v>
      </c>
      <c r="IR14" s="63">
        <v>320.63324147361487</v>
      </c>
      <c r="IS14" s="63">
        <v>69.3958626266312</v>
      </c>
      <c r="IT14" s="63">
        <v>57.631830049849732</v>
      </c>
      <c r="IU14" s="63">
        <v>151.89615872751796</v>
      </c>
      <c r="IV14" s="63"/>
      <c r="IW14" s="67">
        <v>25.177718262405143</v>
      </c>
      <c r="IX14" s="67">
        <v>13.541864844175448</v>
      </c>
      <c r="IY14" s="67">
        <v>16.516395355460407</v>
      </c>
      <c r="JA14" s="63">
        <v>49.226193892187766</v>
      </c>
      <c r="JB14" s="63">
        <v>57.41333642649812</v>
      </c>
      <c r="JC14" s="63">
        <v>57.333604966947391</v>
      </c>
      <c r="JD14" s="63">
        <v>70.500860394556256</v>
      </c>
      <c r="JE14" s="63">
        <v>45.619637790522063</v>
      </c>
      <c r="JF14" s="63">
        <v>70.7347743054858</v>
      </c>
      <c r="JG14" s="63">
        <v>70.024136360228354</v>
      </c>
      <c r="JH14" s="63">
        <v>173.32187742386085</v>
      </c>
      <c r="JI14" s="63">
        <v>117.0940656591718</v>
      </c>
      <c r="JJ14" s="63">
        <v>126.73173465813163</v>
      </c>
      <c r="JK14" s="63">
        <v>126.67485451282865</v>
      </c>
      <c r="JL14" s="63">
        <v>129.51405344713172</v>
      </c>
      <c r="JM14" s="63">
        <v>137.39892173837495</v>
      </c>
      <c r="JN14" s="63">
        <v>224.58667039693881</v>
      </c>
      <c r="JO14" s="68">
        <v>158.45277982618543</v>
      </c>
      <c r="JP14" s="68">
        <v>201.97499103797617</v>
      </c>
      <c r="JQ14" s="68">
        <v>179.37560170190682</v>
      </c>
      <c r="JS14" s="70"/>
      <c r="JT14" s="70"/>
      <c r="JV14" s="73">
        <f t="shared" si="82"/>
        <v>3.573871486675086</v>
      </c>
      <c r="JW14" s="73">
        <f t="shared" si="83"/>
        <v>4.0387611451751972</v>
      </c>
      <c r="JX14" s="73">
        <f t="shared" si="84"/>
        <v>2.4811107488709561</v>
      </c>
      <c r="JY14" s="73">
        <f t="shared" si="85"/>
        <v>3.4646847994203167</v>
      </c>
      <c r="JZ14" s="73">
        <f t="shared" si="86"/>
        <v>4.3910237676587291</v>
      </c>
      <c r="KA14" s="73">
        <f t="shared" si="87"/>
        <v>1.1099624628250382</v>
      </c>
      <c r="KB14" s="73">
        <f t="shared" si="88"/>
        <v>2.1663528581986902</v>
      </c>
      <c r="KC14" s="73">
        <f t="shared" si="89"/>
        <v>1.1628991894594234</v>
      </c>
      <c r="KD14" s="73">
        <f t="shared" si="90"/>
        <v>2.8716220632288678</v>
      </c>
      <c r="KE14" s="73">
        <f t="shared" si="91"/>
        <v>1.2492480308145641</v>
      </c>
      <c r="KF14" s="73">
        <f t="shared" si="92"/>
        <v>3.3798226242006759</v>
      </c>
      <c r="KG14" s="73">
        <f t="shared" si="93"/>
        <v>3.3236591811145719</v>
      </c>
      <c r="KH14" s="73">
        <f t="shared" si="94"/>
        <v>0.77690403151962995</v>
      </c>
      <c r="KI14" s="73">
        <f t="shared" si="95"/>
        <v>1.0952789018364975</v>
      </c>
      <c r="KJ14" s="73">
        <f t="shared" si="96"/>
        <v>0.37663676170152005</v>
      </c>
      <c r="KK14" s="73">
        <f t="shared" si="97"/>
        <v>2.5849844352703992</v>
      </c>
      <c r="KL14" s="73">
        <f t="shared" si="98"/>
        <v>2.8234245723370437</v>
      </c>
      <c r="KM14" s="73">
        <f t="shared" si="99"/>
        <v>3.9931726608976552</v>
      </c>
      <c r="KN14" s="73">
        <f t="shared" si="100"/>
        <v>15.195888221498334</v>
      </c>
      <c r="KO14" s="73">
        <f t="shared" si="101"/>
        <v>3.2889034420204357</v>
      </c>
      <c r="KP14" s="73">
        <f t="shared" si="102"/>
        <v>2.7313663530734469</v>
      </c>
      <c r="KQ14" s="73">
        <f t="shared" si="103"/>
        <v>7.1988700818728883</v>
      </c>
      <c r="KS14" s="66">
        <f t="shared" si="104"/>
        <v>1.1932567896874475</v>
      </c>
      <c r="KT14" s="66">
        <f t="shared" si="105"/>
        <v>0.64179454237798328</v>
      </c>
      <c r="KU14" s="66">
        <f t="shared" si="106"/>
        <v>0.78276755239148843</v>
      </c>
      <c r="KW14" s="32">
        <f t="shared" si="107"/>
        <v>2.3329949711937328</v>
      </c>
      <c r="KX14" s="32">
        <f t="shared" si="108"/>
        <v>2.7210112050473039</v>
      </c>
      <c r="KY14" s="32">
        <f t="shared" si="109"/>
        <v>2.7172324628885018</v>
      </c>
      <c r="KZ14" s="32">
        <f t="shared" si="110"/>
        <v>3.341273004481339</v>
      </c>
      <c r="LA14" s="32">
        <f t="shared" si="111"/>
        <v>2.1620681417309031</v>
      </c>
      <c r="LB14" s="32">
        <f t="shared" si="112"/>
        <v>3.3523589718239712</v>
      </c>
      <c r="LC14" s="32">
        <f t="shared" si="113"/>
        <v>3.3186794483520545</v>
      </c>
      <c r="LD14" s="32">
        <f t="shared" si="114"/>
        <v>8.2143069869128365</v>
      </c>
      <c r="LE14" s="32">
        <f t="shared" si="115"/>
        <v>5.5494817847948719</v>
      </c>
      <c r="LF14" s="32">
        <f t="shared" si="116"/>
        <v>6.0062433487266169</v>
      </c>
      <c r="LG14" s="32">
        <f t="shared" si="117"/>
        <v>6.0035476072430631</v>
      </c>
      <c r="LH14" s="32">
        <f t="shared" si="118"/>
        <v>6.1381067984422613</v>
      </c>
      <c r="LI14" s="32">
        <f t="shared" si="119"/>
        <v>6.5117972387855421</v>
      </c>
      <c r="LJ14" s="32">
        <f t="shared" si="120"/>
        <v>10.643918028290939</v>
      </c>
      <c r="LK14" s="32">
        <f t="shared" si="121"/>
        <v>7.5096104183026267</v>
      </c>
      <c r="LL14" s="32">
        <f t="shared" si="122"/>
        <v>9.5722744567761211</v>
      </c>
      <c r="LM14" s="32">
        <f t="shared" si="123"/>
        <v>8.5012133508012706</v>
      </c>
    </row>
    <row r="15" spans="1:325" x14ac:dyDescent="0.3">
      <c r="A15" s="11" t="s">
        <v>86</v>
      </c>
      <c r="B15" s="59">
        <v>2.18E-2</v>
      </c>
      <c r="C15" s="3">
        <v>0.61899999999999999</v>
      </c>
      <c r="D15" s="57">
        <f t="shared" si="0"/>
        <v>28.394495412844037</v>
      </c>
      <c r="E15">
        <v>0.22</v>
      </c>
      <c r="F15">
        <v>0.23</v>
      </c>
      <c r="G15">
        <v>0.3</v>
      </c>
      <c r="H15">
        <v>0.28000000000000003</v>
      </c>
      <c r="I15">
        <v>0.36</v>
      </c>
      <c r="J15">
        <v>0.45</v>
      </c>
      <c r="K15">
        <v>0.43</v>
      </c>
      <c r="L15">
        <v>0.37</v>
      </c>
      <c r="M15">
        <v>0.46</v>
      </c>
      <c r="N15">
        <v>0.41</v>
      </c>
      <c r="O15">
        <v>0.33</v>
      </c>
      <c r="P15">
        <v>0.28999999999999998</v>
      </c>
      <c r="Q15">
        <v>0.28000000000000003</v>
      </c>
      <c r="R15">
        <v>0.28999999999999998</v>
      </c>
      <c r="S15">
        <v>0.44</v>
      </c>
      <c r="T15">
        <v>0.42</v>
      </c>
      <c r="U15">
        <v>0.36</v>
      </c>
      <c r="V15">
        <v>0.3</v>
      </c>
      <c r="W15">
        <v>0.38</v>
      </c>
      <c r="X15">
        <v>0.31</v>
      </c>
      <c r="Y15">
        <v>0.44</v>
      </c>
      <c r="Z15">
        <v>0.33</v>
      </c>
      <c r="AA15">
        <v>0.31</v>
      </c>
      <c r="AB15">
        <v>0.43</v>
      </c>
      <c r="AC15">
        <v>0.31</v>
      </c>
      <c r="AD15">
        <v>0.23</v>
      </c>
      <c r="AE15">
        <v>0.28000000000000003</v>
      </c>
      <c r="AF15">
        <v>0.39</v>
      </c>
      <c r="AG15">
        <v>0.33</v>
      </c>
      <c r="AH15">
        <v>0.45</v>
      </c>
      <c r="AI15">
        <v>0.37</v>
      </c>
      <c r="AJ15">
        <v>0.4</v>
      </c>
      <c r="AK15">
        <v>0.47</v>
      </c>
      <c r="AL15">
        <v>0.41</v>
      </c>
      <c r="AM15">
        <v>0.41</v>
      </c>
      <c r="AN15">
        <v>0.46</v>
      </c>
      <c r="AO15">
        <v>0.28000000000000003</v>
      </c>
      <c r="AP15">
        <v>0.24</v>
      </c>
      <c r="AQ15">
        <v>0.25</v>
      </c>
      <c r="AR15">
        <v>0.27</v>
      </c>
      <c r="AS15">
        <v>0.3</v>
      </c>
      <c r="AT15">
        <v>0.42</v>
      </c>
      <c r="AU15">
        <v>0.28999999999999998</v>
      </c>
      <c r="AV15">
        <v>0.36</v>
      </c>
      <c r="AW15">
        <v>0.37</v>
      </c>
      <c r="AX15">
        <v>0.26</v>
      </c>
      <c r="AY15">
        <v>0.27</v>
      </c>
      <c r="AZ15">
        <v>0.28999999999999998</v>
      </c>
      <c r="BA15">
        <v>0.46</v>
      </c>
      <c r="BB15">
        <v>0.31</v>
      </c>
      <c r="BC15">
        <v>0.22</v>
      </c>
      <c r="BD15">
        <v>0.26</v>
      </c>
      <c r="BE15">
        <v>0.31</v>
      </c>
      <c r="BF15">
        <v>0.98</v>
      </c>
      <c r="BG15">
        <v>1.2</v>
      </c>
      <c r="BH15">
        <v>0.64</v>
      </c>
      <c r="BI15">
        <v>0.69</v>
      </c>
      <c r="BJ15">
        <v>0.72</v>
      </c>
      <c r="BK15">
        <v>0.77</v>
      </c>
      <c r="BL15">
        <v>0.99</v>
      </c>
      <c r="BM15">
        <v>0.86</v>
      </c>
      <c r="BN15">
        <v>0.53</v>
      </c>
      <c r="BO15">
        <v>0.18</v>
      </c>
      <c r="BP15">
        <v>0.38</v>
      </c>
      <c r="BQ15">
        <v>0.47</v>
      </c>
      <c r="BR15">
        <v>0.24</v>
      </c>
      <c r="BS15">
        <v>0.56999999999999995</v>
      </c>
      <c r="BT15">
        <v>0.31</v>
      </c>
      <c r="BU15">
        <v>0.67</v>
      </c>
      <c r="BV15">
        <v>0.46</v>
      </c>
      <c r="BW15">
        <v>0.49</v>
      </c>
      <c r="BX15">
        <v>0.51</v>
      </c>
      <c r="BY15">
        <v>0.5</v>
      </c>
      <c r="BZ15">
        <v>0.47</v>
      </c>
      <c r="CA15">
        <v>0.32</v>
      </c>
      <c r="CB15">
        <v>0.32</v>
      </c>
      <c r="CC15">
        <v>0.3</v>
      </c>
      <c r="CD15">
        <v>1.18</v>
      </c>
      <c r="CE15">
        <v>0.17</v>
      </c>
      <c r="CF15">
        <v>0.35</v>
      </c>
      <c r="CG15">
        <v>0.12</v>
      </c>
      <c r="CH15" s="3">
        <v>0.43</v>
      </c>
      <c r="CI15" s="3">
        <v>0.62</v>
      </c>
      <c r="CJ15" s="3">
        <v>0.9</v>
      </c>
      <c r="CK15" s="3">
        <v>0.11</v>
      </c>
      <c r="CL15" s="27">
        <f t="shared" si="147"/>
        <v>10.091743119266056</v>
      </c>
      <c r="CM15" s="27">
        <f t="shared" si="1"/>
        <v>10.550458715596331</v>
      </c>
      <c r="CN15" s="27">
        <f t="shared" si="138"/>
        <v>13.761467889908257</v>
      </c>
      <c r="CO15" s="27">
        <f t="shared" si="139"/>
        <v>12.844036697247708</v>
      </c>
      <c r="CP15" s="27">
        <f t="shared" si="148"/>
        <v>16.513761467889907</v>
      </c>
      <c r="CQ15" s="27">
        <f t="shared" si="140"/>
        <v>20.642201834862387</v>
      </c>
      <c r="CR15" s="27">
        <f t="shared" si="2"/>
        <v>19.724770642201836</v>
      </c>
      <c r="CS15" s="27">
        <f t="shared" si="55"/>
        <v>21.100917431192663</v>
      </c>
      <c r="CT15" s="27">
        <f t="shared" si="3"/>
        <v>21.100917431192663</v>
      </c>
      <c r="CU15" s="27">
        <f t="shared" si="141"/>
        <v>18.807339449541285</v>
      </c>
      <c r="CV15" s="27">
        <f t="shared" si="4"/>
        <v>15.137614678899084</v>
      </c>
      <c r="CW15" s="27">
        <f t="shared" si="152"/>
        <v>13.302752293577981</v>
      </c>
      <c r="CX15" s="27">
        <f t="shared" si="142"/>
        <v>12.844036697247708</v>
      </c>
      <c r="CY15" s="27">
        <f t="shared" si="143"/>
        <v>13.302752293577981</v>
      </c>
      <c r="CZ15" s="27">
        <f t="shared" si="5"/>
        <v>20.183486238532112</v>
      </c>
      <c r="DA15" s="27">
        <f t="shared" si="6"/>
        <v>19.26605504587156</v>
      </c>
      <c r="DB15" s="27">
        <f t="shared" si="7"/>
        <v>16.513761467889907</v>
      </c>
      <c r="DC15" s="27">
        <f t="shared" si="8"/>
        <v>13.761467889908257</v>
      </c>
      <c r="DD15" s="27">
        <f t="shared" si="9"/>
        <v>17.431192660550458</v>
      </c>
      <c r="DE15" s="27">
        <f t="shared" si="10"/>
        <v>14.220183486238533</v>
      </c>
      <c r="DF15" s="27">
        <f t="shared" si="11"/>
        <v>20.183486238532112</v>
      </c>
      <c r="DG15" s="27">
        <f t="shared" si="12"/>
        <v>15.137614678899084</v>
      </c>
      <c r="DH15" s="27">
        <f t="shared" si="56"/>
        <v>14.220183486238533</v>
      </c>
      <c r="DI15" s="27">
        <f t="shared" si="13"/>
        <v>19.724770642201836</v>
      </c>
      <c r="DJ15" s="27">
        <f t="shared" si="14"/>
        <v>14.220183486238533</v>
      </c>
      <c r="DK15" s="27">
        <f t="shared" si="15"/>
        <v>10.550458715596331</v>
      </c>
      <c r="DL15" s="27">
        <f t="shared" si="16"/>
        <v>12.844036697247708</v>
      </c>
      <c r="DM15" s="27">
        <f t="shared" si="17"/>
        <v>17.889908256880734</v>
      </c>
      <c r="DN15" s="27">
        <f t="shared" si="18"/>
        <v>15.137614678899084</v>
      </c>
      <c r="DO15" s="27">
        <f t="shared" si="19"/>
        <v>20.642201834862387</v>
      </c>
      <c r="DP15" s="27">
        <f t="shared" si="20"/>
        <v>16.972477064220183</v>
      </c>
      <c r="DQ15" s="27">
        <f t="shared" si="21"/>
        <v>18.348623853211009</v>
      </c>
      <c r="DR15" s="27">
        <f t="shared" si="22"/>
        <v>21.559633027522935</v>
      </c>
      <c r="DS15" s="27">
        <f t="shared" si="23"/>
        <v>18.807339449541285</v>
      </c>
      <c r="DT15" s="27">
        <f t="shared" si="24"/>
        <v>18.807339449541285</v>
      </c>
      <c r="DU15" s="27">
        <f>AN15/B15</f>
        <v>21.100917431192663</v>
      </c>
      <c r="DV15" s="27">
        <f>AO15/B15</f>
        <v>12.844036697247708</v>
      </c>
      <c r="DW15" s="27">
        <f t="shared" si="25"/>
        <v>11.009174311926605</v>
      </c>
      <c r="DX15" s="27">
        <f t="shared" si="57"/>
        <v>11.467889908256881</v>
      </c>
      <c r="DY15" s="27">
        <f t="shared" si="26"/>
        <v>12.385321100917432</v>
      </c>
      <c r="DZ15" s="27">
        <f t="shared" si="27"/>
        <v>13.761467889908257</v>
      </c>
      <c r="EA15" s="27">
        <f t="shared" si="28"/>
        <v>19.26605504587156</v>
      </c>
      <c r="EB15" s="27">
        <f t="shared" si="29"/>
        <v>13.302752293577981</v>
      </c>
      <c r="EC15" s="27">
        <f t="shared" si="30"/>
        <v>16.513761467889907</v>
      </c>
      <c r="ED15" s="27">
        <f t="shared" si="31"/>
        <v>16.972477064220183</v>
      </c>
      <c r="EE15" s="27">
        <f t="shared" si="32"/>
        <v>11.926605504587156</v>
      </c>
      <c r="EF15" s="27">
        <f t="shared" si="33"/>
        <v>12.385321100917432</v>
      </c>
      <c r="EG15" s="27">
        <f t="shared" si="34"/>
        <v>13.302752293577981</v>
      </c>
      <c r="EH15" s="27">
        <f t="shared" si="35"/>
        <v>21.100917431192663</v>
      </c>
      <c r="EI15" s="27">
        <f t="shared" si="36"/>
        <v>14.220183486238533</v>
      </c>
      <c r="EJ15" s="27">
        <f t="shared" si="37"/>
        <v>10.091743119266056</v>
      </c>
      <c r="EK15" s="27">
        <f t="shared" si="144"/>
        <v>11.926605504587156</v>
      </c>
      <c r="EL15" s="27">
        <f t="shared" si="38"/>
        <v>14.220183486238533</v>
      </c>
      <c r="EM15" s="27">
        <f t="shared" si="39"/>
        <v>44.954128440366972</v>
      </c>
      <c r="EN15" s="27">
        <f t="shared" si="40"/>
        <v>55.045871559633028</v>
      </c>
      <c r="EO15" s="27">
        <f t="shared" si="149"/>
        <v>29.357798165137616</v>
      </c>
      <c r="EP15" s="27">
        <f t="shared" si="41"/>
        <v>31.651376146788987</v>
      </c>
      <c r="EQ15" s="27">
        <f t="shared" si="58"/>
        <v>33.027522935779814</v>
      </c>
      <c r="ER15" s="27">
        <f t="shared" si="59"/>
        <v>35.321100917431195</v>
      </c>
      <c r="ES15" s="27">
        <f t="shared" si="60"/>
        <v>45.412844036697244</v>
      </c>
      <c r="ET15" s="27">
        <f t="shared" si="61"/>
        <v>39.449541284403672</v>
      </c>
      <c r="EU15" s="27">
        <f t="shared" si="62"/>
        <v>24.311926605504588</v>
      </c>
      <c r="EV15" s="27">
        <f t="shared" si="63"/>
        <v>8.2568807339449535</v>
      </c>
      <c r="EW15" s="27">
        <f t="shared" si="64"/>
        <v>17.431192660550458</v>
      </c>
      <c r="EX15" s="27">
        <f t="shared" si="65"/>
        <v>21.559633027522935</v>
      </c>
      <c r="EY15" s="27">
        <f t="shared" si="66"/>
        <v>11.009174311926605</v>
      </c>
      <c r="EZ15" s="27">
        <f t="shared" si="67"/>
        <v>26.146788990825687</v>
      </c>
      <c r="FA15" s="27">
        <f t="shared" si="68"/>
        <v>14.220183486238533</v>
      </c>
      <c r="FB15" s="27">
        <f t="shared" si="69"/>
        <v>30.733944954128443</v>
      </c>
      <c r="FC15" s="31">
        <f t="shared" si="145"/>
        <v>19.940915805022154</v>
      </c>
      <c r="FD15" s="31">
        <f t="shared" si="151"/>
        <v>20.679468242245196</v>
      </c>
      <c r="FE15" s="31"/>
      <c r="FF15" s="31">
        <f t="shared" si="150"/>
        <v>22.935779816513762</v>
      </c>
      <c r="FG15" s="31">
        <f t="shared" si="70"/>
        <v>21.559633027522935</v>
      </c>
      <c r="FH15" s="31">
        <f t="shared" si="153"/>
        <v>14.678899082568808</v>
      </c>
      <c r="FI15" s="31">
        <f t="shared" si="154"/>
        <v>14.678899082568808</v>
      </c>
      <c r="FJ15" s="31">
        <f t="shared" si="43"/>
        <v>13.761467889908257</v>
      </c>
      <c r="FK15" s="31">
        <f t="shared" si="155"/>
        <v>54.128440366972477</v>
      </c>
      <c r="FL15" s="31">
        <f t="shared" si="44"/>
        <v>7.7981651376146797</v>
      </c>
      <c r="FM15" s="31">
        <f t="shared" si="45"/>
        <v>16.055045871559631</v>
      </c>
      <c r="FN15" s="31">
        <f t="shared" si="46"/>
        <v>5.5045871559633026</v>
      </c>
      <c r="FO15" s="31">
        <f t="shared" si="47"/>
        <v>19.724770642201836</v>
      </c>
      <c r="FP15" s="31">
        <f t="shared" si="48"/>
        <v>28.440366972477065</v>
      </c>
      <c r="FQ15" s="31">
        <f t="shared" si="49"/>
        <v>41.284403669724774</v>
      </c>
      <c r="FR15" s="31">
        <f t="shared" si="50"/>
        <v>5.0458715596330279</v>
      </c>
      <c r="FS15" s="3">
        <v>510</v>
      </c>
      <c r="FT15" s="29"/>
      <c r="FU15" s="34"/>
      <c r="FV15" s="34"/>
      <c r="FW15" s="34"/>
      <c r="FX15" s="34"/>
      <c r="FY15" s="34"/>
      <c r="FZ15" s="34"/>
      <c r="GA15" s="34"/>
      <c r="GB15" s="34"/>
      <c r="GC15" s="34"/>
      <c r="GD15" s="34"/>
      <c r="GE15" s="34"/>
      <c r="GH15" s="24" t="s">
        <v>86</v>
      </c>
      <c r="GI15" s="24">
        <v>0.84</v>
      </c>
      <c r="GJ15" s="24">
        <v>0.08</v>
      </c>
      <c r="GK15" s="24">
        <v>7.0000000000000007E-2</v>
      </c>
      <c r="GL15" s="36">
        <v>2.18E-2</v>
      </c>
      <c r="GM15" s="37"/>
      <c r="GN15" s="37"/>
      <c r="GO15" s="37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50">
        <f>GI15/B15</f>
        <v>38.532110091743121</v>
      </c>
      <c r="HB15" s="50">
        <f t="shared" si="135"/>
        <v>3.669724770642202</v>
      </c>
      <c r="HC15" s="50">
        <f t="shared" si="136"/>
        <v>3.2110091743119269</v>
      </c>
      <c r="HD15" s="24" t="s">
        <v>86</v>
      </c>
      <c r="HE15" s="36">
        <v>2.18E-2</v>
      </c>
      <c r="HG15" s="3">
        <f t="shared" si="75"/>
        <v>10.550458715596331</v>
      </c>
      <c r="HH15" s="3">
        <f t="shared" si="76"/>
        <v>10.550458715596331</v>
      </c>
      <c r="HI15" s="3">
        <f t="shared" si="77"/>
        <v>13.761467889908257</v>
      </c>
      <c r="HJ15" s="3">
        <f t="shared" si="52"/>
        <v>0.45234248788368342</v>
      </c>
      <c r="HK15" s="3">
        <f t="shared" si="52"/>
        <v>1.2678513731825524E-2</v>
      </c>
      <c r="HL15" s="3">
        <f t="shared" si="52"/>
        <v>2.0454545454545454</v>
      </c>
      <c r="HM15" s="3">
        <f t="shared" si="52"/>
        <v>1.8695652173913042</v>
      </c>
      <c r="HN15" s="3">
        <f t="shared" si="52"/>
        <v>1.2333333333333334</v>
      </c>
      <c r="HO15" s="3">
        <f t="shared" si="52"/>
        <v>1.6428571428571428</v>
      </c>
      <c r="HP15" s="3">
        <f t="shared" si="52"/>
        <v>1.1388888888888888</v>
      </c>
      <c r="HQ15" s="3">
        <f t="shared" si="52"/>
        <v>0.73333333333333339</v>
      </c>
      <c r="HR15" s="3">
        <f t="shared" si="78"/>
        <v>0.67441860465116277</v>
      </c>
      <c r="HS15" s="3">
        <f t="shared" si="79"/>
        <v>0.7567567567567568</v>
      </c>
      <c r="HT15" s="3">
        <f t="shared" si="80"/>
        <v>0.63043478260869557</v>
      </c>
      <c r="HU15" s="3">
        <f t="shared" si="81"/>
        <v>1.0731707317073171</v>
      </c>
      <c r="HV15" s="36">
        <v>2.18E-2</v>
      </c>
      <c r="HW15" s="56"/>
      <c r="HX15" s="24" t="s">
        <v>86</v>
      </c>
      <c r="HZ15" s="63">
        <v>0.9439701613894026</v>
      </c>
      <c r="IA15" s="63">
        <v>1.2515223878717028</v>
      </c>
      <c r="IB15" s="63">
        <v>1.5738141561804126</v>
      </c>
      <c r="IC15" s="63">
        <v>0.87232617311115601</v>
      </c>
      <c r="ID15" s="63">
        <v>0.31017313182189338</v>
      </c>
      <c r="IE15" s="63">
        <v>0.4302769847169195</v>
      </c>
      <c r="IF15" s="63">
        <v>0.76375482407758244</v>
      </c>
      <c r="IG15" s="63">
        <v>0.4121509154982877</v>
      </c>
      <c r="IH15" s="63">
        <v>0.67515791354703658</v>
      </c>
      <c r="II15" s="63">
        <v>0.57626736761727815</v>
      </c>
      <c r="IJ15" s="63">
        <v>0.43152684432155369</v>
      </c>
      <c r="IK15" s="63">
        <v>0.48511842409760708</v>
      </c>
      <c r="IL15" s="63">
        <v>0.58201503411994138</v>
      </c>
      <c r="IM15" s="63">
        <v>0.64146638750411833</v>
      </c>
      <c r="IN15" s="63">
        <v>0.214186822971527</v>
      </c>
      <c r="IO15" s="63">
        <v>0.53923721879408848</v>
      </c>
      <c r="IP15" s="63">
        <v>0.55561061052787775</v>
      </c>
      <c r="IQ15" s="63">
        <v>0.70310066332764187</v>
      </c>
      <c r="IR15" s="63">
        <v>0.37227684120734394</v>
      </c>
      <c r="IS15" s="63">
        <v>1.1119496569667944</v>
      </c>
      <c r="IT15" s="63">
        <v>0.6399106583088453</v>
      </c>
      <c r="IU15" s="63">
        <v>0.43737140994911211</v>
      </c>
      <c r="IV15" s="63"/>
      <c r="IW15" s="67">
        <v>0.11668802968562118</v>
      </c>
      <c r="IX15" s="67">
        <v>0.10979593964521762</v>
      </c>
      <c r="IY15" s="67">
        <v>0.46864628487503113</v>
      </c>
      <c r="JA15" s="63">
        <v>6.5030729680273791E-3</v>
      </c>
      <c r="JB15" s="63">
        <v>0.12098899561034714</v>
      </c>
      <c r="JC15" s="63">
        <v>0.11359732094608777</v>
      </c>
      <c r="JD15" s="63">
        <v>9.6205412629349632E-2</v>
      </c>
      <c r="JE15" s="63"/>
      <c r="JF15" s="63">
        <v>0.12972984737663631</v>
      </c>
      <c r="JG15" s="63">
        <v>0.13205235531790308</v>
      </c>
      <c r="JH15" s="63">
        <v>0.34649725189140845</v>
      </c>
      <c r="JI15" s="63">
        <v>0.13937411757876558</v>
      </c>
      <c r="JJ15" s="63">
        <v>0.19219236090420835</v>
      </c>
      <c r="JK15" s="63">
        <v>0.23899268882297464</v>
      </c>
      <c r="JL15" s="63">
        <v>0.19237384338484223</v>
      </c>
      <c r="JM15" s="63">
        <v>0.23527525093116822</v>
      </c>
      <c r="JN15" s="63">
        <v>0.4587348267737027</v>
      </c>
      <c r="JO15" s="63">
        <v>0.27772401915018613</v>
      </c>
      <c r="JP15" s="63">
        <v>0.30976898892129123</v>
      </c>
      <c r="JQ15" s="63">
        <v>0.37</v>
      </c>
      <c r="JS15" s="69"/>
      <c r="JT15" s="69"/>
      <c r="JV15" s="73">
        <f t="shared" si="82"/>
        <v>43.301383549972599</v>
      </c>
      <c r="JW15" s="73">
        <f t="shared" si="83"/>
        <v>57.409283847325817</v>
      </c>
      <c r="JX15" s="73">
        <f t="shared" si="84"/>
        <v>72.193309916532684</v>
      </c>
      <c r="JY15" s="73">
        <f t="shared" si="85"/>
        <v>40.014962069319083</v>
      </c>
      <c r="JZ15" s="73">
        <f t="shared" si="86"/>
        <v>14.228125312930889</v>
      </c>
      <c r="KA15" s="73">
        <f t="shared" si="87"/>
        <v>19.737476363161445</v>
      </c>
      <c r="KB15" s="73">
        <f t="shared" si="88"/>
        <v>35.034624957687271</v>
      </c>
      <c r="KC15" s="73">
        <f t="shared" si="89"/>
        <v>18.90600529808659</v>
      </c>
      <c r="KD15" s="73">
        <f t="shared" si="90"/>
        <v>30.970546492983331</v>
      </c>
      <c r="KE15" s="73">
        <f t="shared" si="91"/>
        <v>26.434282918223769</v>
      </c>
      <c r="KF15" s="73">
        <f t="shared" si="92"/>
        <v>19.794809372548336</v>
      </c>
      <c r="KG15" s="73">
        <f t="shared" si="93"/>
        <v>22.253138720073718</v>
      </c>
      <c r="KH15" s="73">
        <f t="shared" si="94"/>
        <v>26.697937344951438</v>
      </c>
      <c r="KI15" s="73">
        <f t="shared" si="95"/>
        <v>29.425063646977904</v>
      </c>
      <c r="KJ15" s="73">
        <f t="shared" si="96"/>
        <v>9.8250836225471101</v>
      </c>
      <c r="KK15" s="73">
        <f t="shared" si="97"/>
        <v>24.73565223826094</v>
      </c>
      <c r="KL15" s="73">
        <f t="shared" si="98"/>
        <v>25.486725253572374</v>
      </c>
      <c r="KM15" s="73">
        <f t="shared" si="99"/>
        <v>32.252324005855129</v>
      </c>
      <c r="KN15" s="73">
        <f t="shared" si="100"/>
        <v>17.076919321437796</v>
      </c>
      <c r="KO15" s="73">
        <f t="shared" si="101"/>
        <v>51.006864998476807</v>
      </c>
      <c r="KP15" s="73">
        <f t="shared" si="102"/>
        <v>29.353699922424095</v>
      </c>
      <c r="KQ15" s="73">
        <f t="shared" si="103"/>
        <v>20.062908713262022</v>
      </c>
      <c r="KS15" s="66">
        <f t="shared" si="104"/>
        <v>5.3526619121844581</v>
      </c>
      <c r="KT15" s="66">
        <f t="shared" si="105"/>
        <v>5.036510992899891</v>
      </c>
      <c r="KU15" s="66">
        <f t="shared" si="106"/>
        <v>21.497536003441795</v>
      </c>
      <c r="KW15" s="32">
        <f t="shared" si="107"/>
        <v>0.29830609945079722</v>
      </c>
      <c r="KX15" s="32">
        <f t="shared" si="108"/>
        <v>5.5499539270801437</v>
      </c>
      <c r="KY15" s="32">
        <f t="shared" si="109"/>
        <v>5.2108862819306312</v>
      </c>
      <c r="KZ15" s="32">
        <f t="shared" si="110"/>
        <v>4.4130923224472305</v>
      </c>
      <c r="LA15" s="32"/>
      <c r="LB15" s="32">
        <f t="shared" si="112"/>
        <v>5.9509104301209321</v>
      </c>
      <c r="LC15" s="32">
        <f t="shared" si="113"/>
        <v>6.0574474916469301</v>
      </c>
      <c r="LD15" s="32">
        <f t="shared" si="114"/>
        <v>15.894369352816902</v>
      </c>
      <c r="LE15" s="32">
        <f t="shared" si="115"/>
        <v>6.3933081458149355</v>
      </c>
      <c r="LF15" s="32">
        <f t="shared" si="116"/>
        <v>8.8161633442297411</v>
      </c>
      <c r="LG15" s="32">
        <f t="shared" si="117"/>
        <v>10.962967377200671</v>
      </c>
      <c r="LH15" s="32">
        <f t="shared" si="118"/>
        <v>8.8244882286624868</v>
      </c>
      <c r="LI15" s="32">
        <f t="shared" si="119"/>
        <v>10.792442703264598</v>
      </c>
      <c r="LJ15" s="32">
        <f t="shared" si="120"/>
        <v>21.042881962096455</v>
      </c>
      <c r="LK15" s="32">
        <f t="shared" si="121"/>
        <v>12.739633905971841</v>
      </c>
      <c r="LL15" s="32">
        <f t="shared" si="122"/>
        <v>14.209586647765653</v>
      </c>
      <c r="LM15" s="32">
        <f t="shared" si="123"/>
        <v>16.972477064220183</v>
      </c>
    </row>
    <row r="16" spans="1:325" x14ac:dyDescent="0.3">
      <c r="A16" s="11" t="s">
        <v>14</v>
      </c>
      <c r="B16" s="59">
        <v>1.3540000000000001</v>
      </c>
      <c r="C16" s="3">
        <v>38.5</v>
      </c>
      <c r="D16" s="57">
        <f t="shared" si="0"/>
        <v>28.434268833087149</v>
      </c>
      <c r="E16">
        <v>16.100000000000001</v>
      </c>
      <c r="F16">
        <v>15.1</v>
      </c>
      <c r="G16">
        <v>23.6</v>
      </c>
      <c r="H16">
        <v>19.5</v>
      </c>
      <c r="I16">
        <v>26.9</v>
      </c>
      <c r="J16">
        <v>32.700000000000003</v>
      </c>
      <c r="K16">
        <v>30.4</v>
      </c>
      <c r="L16">
        <v>26.7</v>
      </c>
      <c r="M16">
        <v>32.299999999999997</v>
      </c>
      <c r="N16">
        <v>31.6</v>
      </c>
      <c r="O16">
        <v>24.6</v>
      </c>
      <c r="P16">
        <v>24.7</v>
      </c>
      <c r="Q16">
        <v>21.4</v>
      </c>
      <c r="R16">
        <v>24</v>
      </c>
      <c r="S16">
        <v>30.2</v>
      </c>
      <c r="T16">
        <v>27.62</v>
      </c>
      <c r="U16">
        <v>26.8</v>
      </c>
      <c r="V16">
        <v>21.3</v>
      </c>
      <c r="W16">
        <v>27.5</v>
      </c>
      <c r="X16">
        <v>26.1</v>
      </c>
      <c r="Y16">
        <v>32.799999999999997</v>
      </c>
      <c r="Z16">
        <v>26.6</v>
      </c>
      <c r="AA16">
        <v>29.5</v>
      </c>
      <c r="AB16">
        <v>28.2</v>
      </c>
      <c r="AC16">
        <v>25.3</v>
      </c>
      <c r="AD16">
        <v>20.9</v>
      </c>
      <c r="AE16">
        <v>21.6</v>
      </c>
      <c r="AF16">
        <v>24.1</v>
      </c>
      <c r="AG16">
        <v>22.8</v>
      </c>
      <c r="AH16">
        <v>25.9</v>
      </c>
      <c r="AI16">
        <v>24.5</v>
      </c>
      <c r="AJ16">
        <v>29.2</v>
      </c>
      <c r="AK16">
        <v>32.6</v>
      </c>
      <c r="AL16">
        <v>27.9</v>
      </c>
      <c r="AM16">
        <v>27.5</v>
      </c>
      <c r="AN16"/>
      <c r="AO16"/>
      <c r="AP16">
        <v>18.899999999999999</v>
      </c>
      <c r="AQ16">
        <v>19.2</v>
      </c>
      <c r="AR16">
        <v>19.2</v>
      </c>
      <c r="AS16">
        <v>23.3</v>
      </c>
      <c r="AT16">
        <v>28.3</v>
      </c>
      <c r="AU16">
        <v>23.17</v>
      </c>
      <c r="AV16">
        <v>27.3</v>
      </c>
      <c r="AW16">
        <v>27.3</v>
      </c>
      <c r="AX16">
        <v>20.7</v>
      </c>
      <c r="AY16">
        <v>20.9</v>
      </c>
      <c r="AZ16">
        <v>20.6</v>
      </c>
      <c r="BA16">
        <v>26.9</v>
      </c>
      <c r="BB16">
        <v>22.9</v>
      </c>
      <c r="BC16">
        <v>13.4</v>
      </c>
      <c r="BD16">
        <v>16.600000000000001</v>
      </c>
      <c r="BE16">
        <v>18.2</v>
      </c>
      <c r="BF16">
        <v>46.8</v>
      </c>
      <c r="BG16">
        <v>46.6</v>
      </c>
      <c r="BH16">
        <v>33.700000000000003</v>
      </c>
      <c r="BI16">
        <v>30.6</v>
      </c>
      <c r="BJ16">
        <v>32.700000000000003</v>
      </c>
      <c r="BK16">
        <v>34.72</v>
      </c>
      <c r="BL16">
        <v>47.6</v>
      </c>
      <c r="BM16">
        <v>46.61</v>
      </c>
      <c r="BN16">
        <v>42.91</v>
      </c>
      <c r="BO16">
        <v>15.7</v>
      </c>
      <c r="BP16">
        <v>21.63</v>
      </c>
      <c r="BQ16">
        <v>30.35</v>
      </c>
      <c r="BR16">
        <v>20.65</v>
      </c>
      <c r="BS16">
        <v>40.799999999999997</v>
      </c>
      <c r="BT16">
        <v>31.15</v>
      </c>
      <c r="BU16">
        <v>35.200000000000003</v>
      </c>
      <c r="BV16">
        <v>27</v>
      </c>
      <c r="BW16">
        <v>28</v>
      </c>
      <c r="BX16"/>
      <c r="BY16"/>
      <c r="BZ16">
        <v>31.47</v>
      </c>
      <c r="CA16">
        <v>16</v>
      </c>
      <c r="CB16">
        <v>17.899999999999999</v>
      </c>
      <c r="CC16">
        <v>21</v>
      </c>
      <c r="CD16">
        <v>90</v>
      </c>
      <c r="CE16"/>
      <c r="CF16">
        <v>21</v>
      </c>
      <c r="CG16">
        <v>9.32</v>
      </c>
      <c r="CH16">
        <v>30.67</v>
      </c>
      <c r="CI16" s="3">
        <v>25.91</v>
      </c>
      <c r="CJ16" s="3">
        <v>42.96</v>
      </c>
      <c r="CK16" s="3">
        <v>9.09</v>
      </c>
      <c r="CL16" s="27">
        <f t="shared" si="147"/>
        <v>11.89069423929099</v>
      </c>
      <c r="CM16" s="27">
        <f t="shared" si="1"/>
        <v>11.152141802067947</v>
      </c>
      <c r="CN16" s="27">
        <f t="shared" si="138"/>
        <v>17.42983751846381</v>
      </c>
      <c r="CO16" s="27">
        <f t="shared" si="139"/>
        <v>14.401772525849335</v>
      </c>
      <c r="CP16" s="27">
        <f t="shared" si="148"/>
        <v>19.867060561299851</v>
      </c>
      <c r="CQ16" s="27">
        <f t="shared" si="140"/>
        <v>24.150664697193502</v>
      </c>
      <c r="CR16" s="27">
        <f t="shared" si="2"/>
        <v>22.451994091580499</v>
      </c>
      <c r="CS16" s="27">
        <f t="shared" si="55"/>
        <v>23.85524372230428</v>
      </c>
      <c r="CT16" s="27">
        <f t="shared" si="3"/>
        <v>23.85524372230428</v>
      </c>
      <c r="CU16" s="27">
        <f t="shared" si="141"/>
        <v>23.338257016248154</v>
      </c>
      <c r="CV16" s="27">
        <f t="shared" si="4"/>
        <v>18.168389955686855</v>
      </c>
      <c r="CW16" s="27">
        <f t="shared" si="152"/>
        <v>18.242245199409155</v>
      </c>
      <c r="CX16" s="27">
        <f t="shared" si="142"/>
        <v>15.805022156573115</v>
      </c>
      <c r="CY16" s="27">
        <f t="shared" si="143"/>
        <v>17.725258493353028</v>
      </c>
      <c r="CZ16" s="27">
        <f t="shared" si="5"/>
        <v>22.304283604135893</v>
      </c>
      <c r="DA16" s="27">
        <f t="shared" si="6"/>
        <v>20.398818316100442</v>
      </c>
      <c r="DB16" s="27">
        <f t="shared" si="7"/>
        <v>19.793205317577549</v>
      </c>
      <c r="DC16" s="27">
        <f t="shared" si="8"/>
        <v>15.731166912850812</v>
      </c>
      <c r="DD16" s="27">
        <f t="shared" si="9"/>
        <v>20.310192023633675</v>
      </c>
      <c r="DE16" s="27">
        <f t="shared" si="10"/>
        <v>19.276218611521418</v>
      </c>
      <c r="DF16" s="27">
        <f t="shared" si="11"/>
        <v>24.224519940915801</v>
      </c>
      <c r="DG16" s="27">
        <f t="shared" si="12"/>
        <v>19.64549483013294</v>
      </c>
      <c r="DH16" s="27">
        <f t="shared" si="56"/>
        <v>21.787296898079763</v>
      </c>
      <c r="DI16" s="27">
        <f t="shared" si="13"/>
        <v>20.827178729689805</v>
      </c>
      <c r="DJ16" s="27">
        <f t="shared" si="14"/>
        <v>18.685376661742982</v>
      </c>
      <c r="DK16" s="27">
        <f t="shared" si="15"/>
        <v>15.435745937961594</v>
      </c>
      <c r="DL16" s="27">
        <f t="shared" si="16"/>
        <v>15.952732644017726</v>
      </c>
      <c r="DM16" s="27">
        <f t="shared" si="17"/>
        <v>17.799113737075331</v>
      </c>
      <c r="DN16" s="27">
        <f t="shared" si="18"/>
        <v>16.838995568685377</v>
      </c>
      <c r="DO16" s="27">
        <f t="shared" si="19"/>
        <v>19.128508124076806</v>
      </c>
      <c r="DP16" s="27">
        <f t="shared" si="20"/>
        <v>18.094534711964549</v>
      </c>
      <c r="DQ16" s="27">
        <f t="shared" si="21"/>
        <v>21.565731166912848</v>
      </c>
      <c r="DR16" s="27">
        <f t="shared" si="22"/>
        <v>24.076809453471196</v>
      </c>
      <c r="DS16" s="27">
        <f t="shared" si="23"/>
        <v>20.605612998522894</v>
      </c>
      <c r="DT16" s="27">
        <f t="shared" si="24"/>
        <v>20.310192023633675</v>
      </c>
      <c r="DU16" s="27"/>
      <c r="DV16" s="27"/>
      <c r="DW16" s="27">
        <f t="shared" si="25"/>
        <v>13.958641063515508</v>
      </c>
      <c r="DX16" s="27">
        <f t="shared" si="57"/>
        <v>14.180206794682421</v>
      </c>
      <c r="DY16" s="27">
        <f t="shared" si="26"/>
        <v>14.180206794682421</v>
      </c>
      <c r="DZ16" s="27">
        <f t="shared" si="27"/>
        <v>17.208271787296898</v>
      </c>
      <c r="EA16" s="27">
        <f t="shared" si="28"/>
        <v>20.901033973412112</v>
      </c>
      <c r="EB16" s="27">
        <f t="shared" si="29"/>
        <v>17.112259970457902</v>
      </c>
      <c r="EC16" s="27">
        <f t="shared" si="30"/>
        <v>20.16248153618907</v>
      </c>
      <c r="ED16" s="27">
        <f t="shared" si="31"/>
        <v>20.16248153618907</v>
      </c>
      <c r="EE16" s="27">
        <f t="shared" si="32"/>
        <v>15.288035450516984</v>
      </c>
      <c r="EF16" s="27">
        <f t="shared" si="33"/>
        <v>15.435745937961594</v>
      </c>
      <c r="EG16" s="27">
        <f t="shared" si="34"/>
        <v>15.214180206794682</v>
      </c>
      <c r="EH16" s="27">
        <f t="shared" si="35"/>
        <v>19.867060561299851</v>
      </c>
      <c r="EI16" s="27">
        <f t="shared" si="36"/>
        <v>16.91285081240768</v>
      </c>
      <c r="EJ16" s="27">
        <f t="shared" si="37"/>
        <v>9.8966026587887743</v>
      </c>
      <c r="EK16" s="27">
        <f t="shared" si="144"/>
        <v>12.259970457902511</v>
      </c>
      <c r="EL16" s="27">
        <f t="shared" si="38"/>
        <v>13.441654357459377</v>
      </c>
      <c r="EM16" s="27">
        <f t="shared" si="39"/>
        <v>34.564254062038401</v>
      </c>
      <c r="EN16" s="27">
        <f t="shared" si="40"/>
        <v>34.416543574593796</v>
      </c>
      <c r="EO16" s="27">
        <f t="shared" si="149"/>
        <v>24.889217134416544</v>
      </c>
      <c r="EP16" s="27">
        <f t="shared" si="41"/>
        <v>22.599704579025111</v>
      </c>
      <c r="EQ16" s="27">
        <f t="shared" si="58"/>
        <v>24.150664697193502</v>
      </c>
      <c r="ER16" s="27">
        <f t="shared" si="59"/>
        <v>25.642540620384043</v>
      </c>
      <c r="ES16" s="27">
        <f t="shared" si="60"/>
        <v>35.155096011816838</v>
      </c>
      <c r="ET16" s="27">
        <f t="shared" si="61"/>
        <v>34.42392909896602</v>
      </c>
      <c r="EU16" s="27">
        <f t="shared" si="62"/>
        <v>31.691285081240764</v>
      </c>
      <c r="EV16" s="27">
        <f t="shared" si="63"/>
        <v>11.59527326440177</v>
      </c>
      <c r="EW16" s="27">
        <f t="shared" si="64"/>
        <v>15.974889217134415</v>
      </c>
      <c r="EX16" s="27">
        <f t="shared" si="65"/>
        <v>22.415066469719349</v>
      </c>
      <c r="EY16" s="27">
        <f t="shared" si="66"/>
        <v>15.251107828655833</v>
      </c>
      <c r="EZ16" s="27">
        <f t="shared" si="67"/>
        <v>30.132939438700145</v>
      </c>
      <c r="FA16" s="27">
        <f t="shared" si="68"/>
        <v>23.005908419497782</v>
      </c>
      <c r="FB16" s="27">
        <f t="shared" si="69"/>
        <v>25.997045790251107</v>
      </c>
      <c r="FC16" s="31"/>
      <c r="FD16" s="31">
        <f t="shared" si="151"/>
        <v>13.333333333333332</v>
      </c>
      <c r="FE16" s="31">
        <f>BX17/B17</f>
        <v>13.513513513513514</v>
      </c>
      <c r="FF16" s="31"/>
      <c r="FG16" s="31">
        <f t="shared" si="70"/>
        <v>23.242245199409155</v>
      </c>
      <c r="FH16" s="31">
        <f t="shared" si="153"/>
        <v>11.816838995568684</v>
      </c>
      <c r="FI16" s="31">
        <f t="shared" si="154"/>
        <v>13.220088626292466</v>
      </c>
      <c r="FJ16" s="31">
        <f t="shared" si="43"/>
        <v>15.509601181683898</v>
      </c>
      <c r="FK16" s="31">
        <f t="shared" si="155"/>
        <v>66.469719350073845</v>
      </c>
      <c r="FL16" s="31">
        <f t="shared" si="44"/>
        <v>0</v>
      </c>
      <c r="FM16" s="31">
        <f t="shared" si="45"/>
        <v>15.509601181683898</v>
      </c>
      <c r="FN16" s="31">
        <f t="shared" si="46"/>
        <v>6.8833087149187593</v>
      </c>
      <c r="FO16" s="31">
        <f t="shared" si="47"/>
        <v>22.651403249630725</v>
      </c>
      <c r="FP16" s="31">
        <f t="shared" si="48"/>
        <v>19.135893648449038</v>
      </c>
      <c r="FQ16" s="31">
        <f t="shared" si="49"/>
        <v>31.728212703101917</v>
      </c>
      <c r="FR16" s="31">
        <f t="shared" si="50"/>
        <v>6.7134416543574584</v>
      </c>
      <c r="FS16" s="3">
        <v>7.3</v>
      </c>
      <c r="FT16" s="29">
        <f>FS16/B16</f>
        <v>5.3914327917282119</v>
      </c>
      <c r="FU16" s="34">
        <v>0.31900000000000001</v>
      </c>
      <c r="FV16" s="34">
        <v>0.38500000000000001</v>
      </c>
      <c r="FW16" s="34">
        <v>0.38500000000000001</v>
      </c>
      <c r="FX16" s="34">
        <v>0.65100000000000002</v>
      </c>
      <c r="FY16" s="34">
        <v>0.55600000000000005</v>
      </c>
      <c r="FZ16" s="34">
        <v>0.66700000000000004</v>
      </c>
      <c r="GA16" s="34">
        <v>0.55900000000000005</v>
      </c>
      <c r="GB16" s="34">
        <v>0.27200000000000002</v>
      </c>
      <c r="GC16" s="34">
        <v>0.26</v>
      </c>
      <c r="GD16" s="34">
        <v>0.33</v>
      </c>
      <c r="GE16" s="34">
        <v>0.66</v>
      </c>
      <c r="GF16" s="3">
        <v>29</v>
      </c>
      <c r="GG16" s="3">
        <v>32</v>
      </c>
      <c r="GH16" s="23" t="s">
        <v>14</v>
      </c>
      <c r="GI16" s="23">
        <v>37</v>
      </c>
      <c r="GJ16" s="23">
        <v>1.8</v>
      </c>
      <c r="GK16" s="23">
        <v>1.7</v>
      </c>
      <c r="GL16" s="36">
        <v>1.3540000000000001</v>
      </c>
      <c r="GM16" s="37">
        <f t="shared" si="146"/>
        <v>0.23559822747415066</v>
      </c>
      <c r="GN16" s="37">
        <f t="shared" si="124"/>
        <v>0.28434268833087145</v>
      </c>
      <c r="GO16" s="37">
        <f t="shared" si="125"/>
        <v>0.28434268833087145</v>
      </c>
      <c r="GP16" s="37">
        <f t="shared" si="126"/>
        <v>0.48079763663220088</v>
      </c>
      <c r="GQ16" s="37">
        <f t="shared" si="127"/>
        <v>0.41063515509601184</v>
      </c>
      <c r="GR16" s="37">
        <f t="shared" si="128"/>
        <v>0.49261447562776955</v>
      </c>
      <c r="GS16" s="37">
        <f t="shared" si="129"/>
        <v>0.41285081240768096</v>
      </c>
      <c r="GT16" s="37">
        <f t="shared" si="130"/>
        <v>0.20088626292466766</v>
      </c>
      <c r="GU16" s="37">
        <f t="shared" si="131"/>
        <v>0.19202363367799113</v>
      </c>
      <c r="GV16" s="37">
        <f t="shared" si="132"/>
        <v>0.24372230428360414</v>
      </c>
      <c r="GW16" s="37">
        <f t="shared" si="133"/>
        <v>0.48744460856720828</v>
      </c>
      <c r="GX16" s="37">
        <f>GF16/GL16</f>
        <v>21.418020679468242</v>
      </c>
      <c r="GY16" s="37">
        <f t="shared" ref="GY16:GY25" si="156">GG16/GL16</f>
        <v>23.633677991137368</v>
      </c>
      <c r="GZ16" s="37">
        <f t="shared" si="134"/>
        <v>27.326440177252582</v>
      </c>
      <c r="HA16" s="50">
        <f>GI16/B16</f>
        <v>27.326440177252582</v>
      </c>
      <c r="HB16" s="50">
        <f t="shared" si="135"/>
        <v>1.3293943870014771</v>
      </c>
      <c r="HC16" s="50">
        <f t="shared" si="136"/>
        <v>1.2555391432791727</v>
      </c>
      <c r="HD16" s="23" t="s">
        <v>14</v>
      </c>
      <c r="HE16" s="36">
        <v>1.3540000000000001</v>
      </c>
      <c r="HG16" s="3">
        <f t="shared" si="75"/>
        <v>11.152141802067947</v>
      </c>
      <c r="HH16" s="3">
        <f t="shared" si="76"/>
        <v>11.152141802067947</v>
      </c>
      <c r="HI16" s="3">
        <f t="shared" si="77"/>
        <v>17.42983751846381</v>
      </c>
      <c r="HJ16" s="3">
        <f t="shared" si="52"/>
        <v>0.50649350649350644</v>
      </c>
      <c r="HK16" s="3">
        <f t="shared" si="52"/>
        <v>0.94604155844155835</v>
      </c>
      <c r="HL16" s="3">
        <f t="shared" si="52"/>
        <v>2.031055900621118</v>
      </c>
      <c r="HM16" s="3">
        <f t="shared" si="52"/>
        <v>2.0132450331125828</v>
      </c>
      <c r="HN16" s="3">
        <f t="shared" si="52"/>
        <v>1.1313559322033897</v>
      </c>
      <c r="HO16" s="3">
        <f t="shared" si="52"/>
        <v>1.6564102564102563</v>
      </c>
      <c r="HP16" s="3">
        <f t="shared" si="52"/>
        <v>1.1747211895910781</v>
      </c>
      <c r="HQ16" s="3">
        <f t="shared" si="52"/>
        <v>0.75229357798165131</v>
      </c>
      <c r="HR16" s="3">
        <f t="shared" si="78"/>
        <v>0.8125</v>
      </c>
      <c r="HS16" s="3">
        <f t="shared" si="79"/>
        <v>0.80149812734082393</v>
      </c>
      <c r="HT16" s="3">
        <f t="shared" si="80"/>
        <v>0.74303405572755421</v>
      </c>
      <c r="HU16" s="3">
        <f t="shared" si="81"/>
        <v>0.95569620253164556</v>
      </c>
      <c r="HV16" s="36">
        <v>1.3540000000000001</v>
      </c>
      <c r="HW16" s="56"/>
      <c r="HX16" s="23" t="s">
        <v>14</v>
      </c>
      <c r="HZ16" s="63">
        <v>1.6028000880466986</v>
      </c>
      <c r="IA16" s="63">
        <v>6.626740458069083</v>
      </c>
      <c r="IB16" s="63">
        <v>7.4629996114166683</v>
      </c>
      <c r="IC16" s="63">
        <v>4.7522521280979104</v>
      </c>
      <c r="ID16" s="63">
        <v>0.462750905609499</v>
      </c>
      <c r="IE16" s="63">
        <v>0.70368533072940875</v>
      </c>
      <c r="IF16" s="63">
        <v>3.9709121580892957</v>
      </c>
      <c r="IG16" s="63">
        <v>0.69740166069875131</v>
      </c>
      <c r="IH16" s="63">
        <v>3.675153773618661</v>
      </c>
      <c r="II16" s="63">
        <v>0.99407730584012555</v>
      </c>
      <c r="IJ16" s="63">
        <v>2.6043659367030783</v>
      </c>
      <c r="IK16" s="63">
        <v>2.6383572612674957</v>
      </c>
      <c r="IL16" s="63">
        <v>1.0513290163473927</v>
      </c>
      <c r="IM16" s="63">
        <v>1.3501552584226812</v>
      </c>
      <c r="IN16" s="63">
        <v>0.46121677491401059</v>
      </c>
      <c r="IO16" s="63">
        <v>3.2454695526929136</v>
      </c>
      <c r="IP16" s="63">
        <v>3.6372882567006095</v>
      </c>
      <c r="IQ16" s="63">
        <v>4.6501646218188588</v>
      </c>
      <c r="IR16" s="63">
        <v>1.1129809874520644</v>
      </c>
      <c r="IS16" s="63">
        <v>5.1272882940254432</v>
      </c>
      <c r="IT16" s="63">
        <v>2.8762135605006716</v>
      </c>
      <c r="IU16" s="63">
        <v>0.5229664668039119</v>
      </c>
      <c r="IV16" s="63"/>
      <c r="IW16" s="67">
        <v>1.5929665474632635</v>
      </c>
      <c r="IX16" s="67">
        <v>0.85387560367911841</v>
      </c>
      <c r="IY16" s="67">
        <v>0.91023651512175552</v>
      </c>
      <c r="JA16" s="63">
        <v>3.251714232766743</v>
      </c>
      <c r="JB16" s="63">
        <v>3.8231308538478199</v>
      </c>
      <c r="JC16" s="63">
        <v>3.6729005140209372</v>
      </c>
      <c r="JD16" s="63">
        <v>4.3490311506983099</v>
      </c>
      <c r="JE16" s="63">
        <v>2.9875225240046008</v>
      </c>
      <c r="JF16" s="63">
        <v>4.6525271032480253</v>
      </c>
      <c r="JG16" s="63">
        <v>3.8643096202041498</v>
      </c>
      <c r="JH16" s="63">
        <v>10.445204374833924</v>
      </c>
      <c r="JI16" s="63">
        <v>6.3338577318838798</v>
      </c>
      <c r="JJ16" s="63">
        <v>8.2271974131445411</v>
      </c>
      <c r="JK16" s="63">
        <v>6.9645571235227841</v>
      </c>
      <c r="JL16" s="63">
        <v>7.231328739507866</v>
      </c>
      <c r="JM16" s="63">
        <v>9.5973248015465948</v>
      </c>
      <c r="JN16" s="63">
        <v>13.886307974181245</v>
      </c>
      <c r="JO16" s="63">
        <v>8.4611930114528668</v>
      </c>
      <c r="JP16" s="63">
        <v>11.239952286204266</v>
      </c>
      <c r="JQ16" s="63">
        <v>9.5476663976612155</v>
      </c>
      <c r="JS16" s="69"/>
      <c r="JT16" s="69"/>
      <c r="JV16" s="73">
        <f t="shared" si="82"/>
        <v>1.1837519114081969</v>
      </c>
      <c r="JW16" s="73">
        <f t="shared" si="83"/>
        <v>4.894195316151464</v>
      </c>
      <c r="JX16" s="73">
        <f t="shared" si="84"/>
        <v>5.511816552006402</v>
      </c>
      <c r="JY16" s="73">
        <f t="shared" si="85"/>
        <v>3.5097873915051037</v>
      </c>
      <c r="JZ16" s="73">
        <f t="shared" si="86"/>
        <v>0.34176580916506571</v>
      </c>
      <c r="KA16" s="73">
        <f t="shared" si="87"/>
        <v>0.51970851604830781</v>
      </c>
      <c r="KB16" s="73">
        <f t="shared" si="88"/>
        <v>2.9327268523554619</v>
      </c>
      <c r="KC16" s="73">
        <f t="shared" si="89"/>
        <v>0.51506769623246029</v>
      </c>
      <c r="KD16" s="73">
        <f t="shared" si="90"/>
        <v>2.7142937766755248</v>
      </c>
      <c r="KE16" s="73">
        <f t="shared" si="91"/>
        <v>0.73417821701634078</v>
      </c>
      <c r="KF16" s="73">
        <f t="shared" si="92"/>
        <v>1.9234608099727313</v>
      </c>
      <c r="KG16" s="73">
        <f t="shared" si="93"/>
        <v>1.9485651855742212</v>
      </c>
      <c r="KH16" s="73">
        <f t="shared" si="94"/>
        <v>0.77646160734667113</v>
      </c>
      <c r="KI16" s="73">
        <f t="shared" si="95"/>
        <v>0.99716045673757836</v>
      </c>
      <c r="KJ16" s="73">
        <f t="shared" si="96"/>
        <v>0.34063277320089408</v>
      </c>
      <c r="KK16" s="73">
        <f t="shared" si="97"/>
        <v>2.3969494480745297</v>
      </c>
      <c r="KL16" s="73">
        <f t="shared" si="98"/>
        <v>2.6863281068689875</v>
      </c>
      <c r="KM16" s="73">
        <f t="shared" si="99"/>
        <v>3.4343904149326874</v>
      </c>
      <c r="KN16" s="73">
        <f t="shared" si="100"/>
        <v>0.82199482086563103</v>
      </c>
      <c r="KO16" s="73">
        <f t="shared" si="101"/>
        <v>3.7867712658976682</v>
      </c>
      <c r="KP16" s="73">
        <f t="shared" si="102"/>
        <v>2.1242345350817367</v>
      </c>
      <c r="KQ16" s="73">
        <f t="shared" si="103"/>
        <v>0.38623815864395261</v>
      </c>
      <c r="KS16" s="66">
        <f t="shared" si="104"/>
        <v>1.1764893260437692</v>
      </c>
      <c r="KT16" s="66">
        <f t="shared" si="105"/>
        <v>0.63063190818250991</v>
      </c>
      <c r="KU16" s="66">
        <f t="shared" si="106"/>
        <v>0.67225739669258155</v>
      </c>
      <c r="KW16" s="32">
        <f t="shared" si="107"/>
        <v>2.4015614717627347</v>
      </c>
      <c r="KX16" s="32">
        <f t="shared" si="108"/>
        <v>2.8235826099319201</v>
      </c>
      <c r="KY16" s="32">
        <f t="shared" si="109"/>
        <v>2.7126296263079297</v>
      </c>
      <c r="KZ16" s="32">
        <f t="shared" si="110"/>
        <v>3.2119875559071711</v>
      </c>
      <c r="LA16" s="32">
        <f t="shared" si="111"/>
        <v>2.2064420413623345</v>
      </c>
      <c r="LB16" s="32">
        <f t="shared" si="112"/>
        <v>3.4361352313500921</v>
      </c>
      <c r="LC16" s="32">
        <f t="shared" si="113"/>
        <v>2.8539952881862258</v>
      </c>
      <c r="LD16" s="32">
        <f t="shared" si="114"/>
        <v>7.7143311483263837</v>
      </c>
      <c r="LE16" s="32">
        <f t="shared" si="115"/>
        <v>4.6778860649068532</v>
      </c>
      <c r="LF16" s="32">
        <f t="shared" si="116"/>
        <v>6.0762167009930135</v>
      </c>
      <c r="LG16" s="32">
        <f t="shared" si="117"/>
        <v>5.1436906377568565</v>
      </c>
      <c r="LH16" s="32">
        <f t="shared" si="118"/>
        <v>5.3407154649245685</v>
      </c>
      <c r="LI16" s="32">
        <f t="shared" si="119"/>
        <v>7.0881276230033929</v>
      </c>
      <c r="LJ16" s="32">
        <f t="shared" si="120"/>
        <v>10.255766598361332</v>
      </c>
      <c r="LK16" s="32">
        <f t="shared" si="121"/>
        <v>6.2490347204230918</v>
      </c>
      <c r="LL16" s="32">
        <f t="shared" si="122"/>
        <v>8.3012941552468718</v>
      </c>
      <c r="LM16" s="32">
        <f t="shared" si="123"/>
        <v>7.0514522877852404</v>
      </c>
    </row>
    <row r="17" spans="1:325" x14ac:dyDescent="0.3">
      <c r="A17" s="11" t="s">
        <v>15</v>
      </c>
      <c r="B17" s="59">
        <v>0.44400000000000001</v>
      </c>
      <c r="C17" s="3">
        <v>10</v>
      </c>
      <c r="D17" s="57">
        <f t="shared" si="0"/>
        <v>22.522522522522522</v>
      </c>
      <c r="E17">
        <v>4.2</v>
      </c>
      <c r="F17">
        <v>4.83</v>
      </c>
      <c r="G17">
        <v>6.08</v>
      </c>
      <c r="H17">
        <v>5.08</v>
      </c>
      <c r="I17">
        <v>6.72</v>
      </c>
      <c r="J17">
        <v>8.1199999999999992</v>
      </c>
      <c r="K17">
        <v>8.58</v>
      </c>
      <c r="L17">
        <v>6.51</v>
      </c>
      <c r="M17">
        <v>8.74</v>
      </c>
      <c r="N17">
        <v>7.62</v>
      </c>
      <c r="O17">
        <v>7.14</v>
      </c>
      <c r="P17">
        <v>6.12</v>
      </c>
      <c r="Q17">
        <v>5.48</v>
      </c>
      <c r="R17">
        <v>6.84</v>
      </c>
      <c r="S17">
        <v>7.47</v>
      </c>
      <c r="T17">
        <v>6.9</v>
      </c>
      <c r="U17">
        <v>6.54</v>
      </c>
      <c r="V17">
        <v>5.24</v>
      </c>
      <c r="W17">
        <v>6.65</v>
      </c>
      <c r="X17">
        <v>6.12</v>
      </c>
      <c r="Y17">
        <v>7.81</v>
      </c>
      <c r="Z17">
        <v>6.51</v>
      </c>
      <c r="AA17">
        <v>6.94</v>
      </c>
      <c r="AB17">
        <v>6.76</v>
      </c>
      <c r="AC17">
        <v>6.83</v>
      </c>
      <c r="AD17">
        <v>5.72</v>
      </c>
      <c r="AE17">
        <v>5.73</v>
      </c>
      <c r="AF17">
        <v>6.46</v>
      </c>
      <c r="AG17">
        <v>6.25</v>
      </c>
      <c r="AH17">
        <v>6.99</v>
      </c>
      <c r="AI17">
        <v>6.63</v>
      </c>
      <c r="AJ17">
        <v>7.48</v>
      </c>
      <c r="AK17">
        <v>8.3699999999999992</v>
      </c>
      <c r="AL17">
        <v>7.18</v>
      </c>
      <c r="AM17">
        <v>7.04</v>
      </c>
      <c r="AN17"/>
      <c r="AO17"/>
      <c r="AP17">
        <v>5.2</v>
      </c>
      <c r="AQ17">
        <v>4.54</v>
      </c>
      <c r="AR17">
        <v>4.34</v>
      </c>
      <c r="AS17">
        <v>6.16</v>
      </c>
      <c r="AT17">
        <v>7.37</v>
      </c>
      <c r="AU17">
        <v>6.04</v>
      </c>
      <c r="AV17">
        <v>7.09</v>
      </c>
      <c r="AW17">
        <v>7.08</v>
      </c>
      <c r="AX17">
        <v>5.57</v>
      </c>
      <c r="AY17">
        <v>5.64</v>
      </c>
      <c r="AZ17">
        <v>5.49</v>
      </c>
      <c r="BA17">
        <v>7.19</v>
      </c>
      <c r="BB17">
        <v>6.08</v>
      </c>
      <c r="BC17">
        <v>3.68</v>
      </c>
      <c r="BD17">
        <v>4.6100000000000003</v>
      </c>
      <c r="BE17">
        <v>4.9800000000000004</v>
      </c>
      <c r="BF17">
        <v>12.55</v>
      </c>
      <c r="BG17">
        <v>12.41</v>
      </c>
      <c r="BH17">
        <v>7.66</v>
      </c>
      <c r="BI17">
        <v>8.14</v>
      </c>
      <c r="BJ17">
        <v>7.71</v>
      </c>
      <c r="BK17">
        <v>8.19</v>
      </c>
      <c r="BL17">
        <v>9.59</v>
      </c>
      <c r="BM17">
        <v>9.65</v>
      </c>
      <c r="BN17">
        <v>8.5500000000000007</v>
      </c>
      <c r="BO17">
        <v>3.82</v>
      </c>
      <c r="BP17">
        <v>4.8499999999999996</v>
      </c>
      <c r="BQ17">
        <v>6.87</v>
      </c>
      <c r="BR17">
        <v>4.8499999999999996</v>
      </c>
      <c r="BS17">
        <v>9.1999999999999993</v>
      </c>
      <c r="BT17">
        <v>6.95</v>
      </c>
      <c r="BU17">
        <v>7.16</v>
      </c>
      <c r="BV17"/>
      <c r="BW17">
        <v>5.92</v>
      </c>
      <c r="BX17">
        <v>6</v>
      </c>
      <c r="BY17"/>
      <c r="BZ17">
        <v>6.84</v>
      </c>
      <c r="CA17">
        <v>3.8</v>
      </c>
      <c r="CB17">
        <v>3.84</v>
      </c>
      <c r="CC17">
        <v>4.8</v>
      </c>
      <c r="CD17">
        <v>14.84</v>
      </c>
      <c r="CE17">
        <v>4.3</v>
      </c>
      <c r="CF17">
        <v>4.4000000000000004</v>
      </c>
      <c r="CG17">
        <v>2.12</v>
      </c>
      <c r="CH17">
        <v>8.56</v>
      </c>
      <c r="CI17" s="3">
        <v>6.56</v>
      </c>
      <c r="CJ17" s="3">
        <v>8.4499999999999993</v>
      </c>
      <c r="CK17" s="3">
        <v>2.77</v>
      </c>
      <c r="CL17" s="27">
        <f t="shared" si="147"/>
        <v>9.4594594594594597</v>
      </c>
      <c r="CM17" s="27">
        <f t="shared" si="1"/>
        <v>10.878378378378379</v>
      </c>
      <c r="CN17" s="27">
        <f t="shared" si="138"/>
        <v>13.693693693693694</v>
      </c>
      <c r="CO17" s="27">
        <f t="shared" si="139"/>
        <v>11.441441441441441</v>
      </c>
      <c r="CP17" s="27">
        <f t="shared" si="148"/>
        <v>15.135135135135135</v>
      </c>
      <c r="CQ17" s="27">
        <f t="shared" si="140"/>
        <v>18.288288288288285</v>
      </c>
      <c r="CR17" s="27">
        <f t="shared" si="2"/>
        <v>19.324324324324323</v>
      </c>
      <c r="CS17" s="27">
        <f t="shared" si="55"/>
        <v>19.684684684684687</v>
      </c>
      <c r="CT17" s="27">
        <f t="shared" si="3"/>
        <v>19.684684684684687</v>
      </c>
      <c r="CU17" s="27">
        <f t="shared" si="141"/>
        <v>17.162162162162161</v>
      </c>
      <c r="CV17" s="27">
        <f t="shared" si="4"/>
        <v>16.081081081081081</v>
      </c>
      <c r="CW17" s="27">
        <f t="shared" si="152"/>
        <v>13.783783783783784</v>
      </c>
      <c r="CX17" s="27">
        <f t="shared" si="142"/>
        <v>12.342342342342343</v>
      </c>
      <c r="CY17" s="27">
        <f t="shared" si="143"/>
        <v>15.405405405405405</v>
      </c>
      <c r="CZ17" s="27">
        <f t="shared" si="5"/>
        <v>16.824324324324323</v>
      </c>
      <c r="DA17" s="27">
        <f t="shared" si="6"/>
        <v>15.54054054054054</v>
      </c>
      <c r="DB17" s="27">
        <f t="shared" si="7"/>
        <v>14.72972972972973</v>
      </c>
      <c r="DC17" s="27">
        <f t="shared" si="8"/>
        <v>11.801801801801803</v>
      </c>
      <c r="DD17" s="27">
        <f t="shared" si="9"/>
        <v>14.977477477477478</v>
      </c>
      <c r="DE17" s="27">
        <f t="shared" si="10"/>
        <v>13.783783783783784</v>
      </c>
      <c r="DF17" s="27">
        <f t="shared" si="11"/>
        <v>17.59009009009009</v>
      </c>
      <c r="DG17" s="27">
        <f t="shared" si="12"/>
        <v>14.662162162162161</v>
      </c>
      <c r="DH17" s="27">
        <f t="shared" si="56"/>
        <v>15.630630630630632</v>
      </c>
      <c r="DI17" s="27">
        <f t="shared" si="13"/>
        <v>15.225225225225225</v>
      </c>
      <c r="DJ17" s="27">
        <f t="shared" si="14"/>
        <v>15.382882882882884</v>
      </c>
      <c r="DK17" s="27">
        <f t="shared" si="15"/>
        <v>12.882882882882882</v>
      </c>
      <c r="DL17" s="27">
        <f t="shared" si="16"/>
        <v>12.905405405405407</v>
      </c>
      <c r="DM17" s="27">
        <f t="shared" si="17"/>
        <v>14.54954954954955</v>
      </c>
      <c r="DN17" s="27">
        <f t="shared" si="18"/>
        <v>14.076576576576576</v>
      </c>
      <c r="DO17" s="27">
        <f t="shared" si="19"/>
        <v>15.743243243243244</v>
      </c>
      <c r="DP17" s="27">
        <f t="shared" si="20"/>
        <v>14.932432432432432</v>
      </c>
      <c r="DQ17" s="27">
        <f t="shared" si="21"/>
        <v>16.846846846846848</v>
      </c>
      <c r="DR17" s="27">
        <f t="shared" si="22"/>
        <v>18.851351351351351</v>
      </c>
      <c r="DS17" s="27">
        <f t="shared" si="23"/>
        <v>16.171171171171171</v>
      </c>
      <c r="DT17" s="27">
        <f t="shared" si="24"/>
        <v>15.855855855855856</v>
      </c>
      <c r="DU17" s="27"/>
      <c r="DV17" s="27"/>
      <c r="DW17" s="27">
        <f t="shared" si="25"/>
        <v>11.711711711711711</v>
      </c>
      <c r="DX17" s="27">
        <f t="shared" si="57"/>
        <v>10.225225225225225</v>
      </c>
      <c r="DY17" s="27">
        <f t="shared" si="26"/>
        <v>9.7747747747747749</v>
      </c>
      <c r="DZ17" s="27">
        <f t="shared" si="27"/>
        <v>13.873873873873874</v>
      </c>
      <c r="EA17" s="27">
        <f t="shared" si="28"/>
        <v>16.599099099099099</v>
      </c>
      <c r="EB17" s="27">
        <f t="shared" si="29"/>
        <v>13.603603603603604</v>
      </c>
      <c r="EC17" s="27">
        <f t="shared" si="30"/>
        <v>15.968468468468467</v>
      </c>
      <c r="ED17" s="27">
        <f t="shared" si="31"/>
        <v>15.945945945945946</v>
      </c>
      <c r="EE17" s="27">
        <f t="shared" si="32"/>
        <v>12.545045045045045</v>
      </c>
      <c r="EF17" s="27">
        <f t="shared" si="33"/>
        <v>12.702702702702702</v>
      </c>
      <c r="EG17" s="27">
        <f t="shared" si="34"/>
        <v>12.364864864864865</v>
      </c>
      <c r="EH17" s="27">
        <f t="shared" si="35"/>
        <v>16.193693693693696</v>
      </c>
      <c r="EI17" s="27">
        <f t="shared" si="36"/>
        <v>13.693693693693694</v>
      </c>
      <c r="EJ17" s="27">
        <f t="shared" si="37"/>
        <v>8.2882882882882889</v>
      </c>
      <c r="EK17" s="27">
        <f t="shared" si="144"/>
        <v>10.382882882882884</v>
      </c>
      <c r="EL17" s="27">
        <f t="shared" si="38"/>
        <v>11.216216216216218</v>
      </c>
      <c r="EM17" s="27">
        <f t="shared" si="39"/>
        <v>28.265765765765767</v>
      </c>
      <c r="EN17" s="27">
        <f t="shared" si="40"/>
        <v>27.95045045045045</v>
      </c>
      <c r="EO17" s="27">
        <f t="shared" si="149"/>
        <v>17.252252252252251</v>
      </c>
      <c r="EP17" s="27">
        <f t="shared" si="41"/>
        <v>18.333333333333336</v>
      </c>
      <c r="EQ17" s="27">
        <f t="shared" si="58"/>
        <v>17.364864864864863</v>
      </c>
      <c r="ER17" s="27">
        <f t="shared" si="59"/>
        <v>18.445945945945944</v>
      </c>
      <c r="ES17" s="27">
        <f t="shared" si="60"/>
        <v>21.599099099099099</v>
      </c>
      <c r="ET17" s="27">
        <f t="shared" si="61"/>
        <v>21.734234234234236</v>
      </c>
      <c r="EU17" s="27">
        <f t="shared" si="62"/>
        <v>19.256756756756758</v>
      </c>
      <c r="EV17" s="27">
        <f t="shared" si="63"/>
        <v>8.6036036036036023</v>
      </c>
      <c r="EW17" s="27">
        <f t="shared" si="64"/>
        <v>10.923423423423422</v>
      </c>
      <c r="EX17" s="27">
        <f t="shared" si="65"/>
        <v>15.472972972972974</v>
      </c>
      <c r="EY17" s="27">
        <f t="shared" si="66"/>
        <v>10.923423423423422</v>
      </c>
      <c r="EZ17" s="27">
        <f t="shared" si="67"/>
        <v>20.72072072072072</v>
      </c>
      <c r="FA17" s="27">
        <f t="shared" si="68"/>
        <v>15.653153153153154</v>
      </c>
      <c r="FB17" s="27">
        <f t="shared" si="69"/>
        <v>16.126126126126128</v>
      </c>
      <c r="FC17" s="31">
        <f>BV18/B18</f>
        <v>18.839285714285715</v>
      </c>
      <c r="FD17" s="31">
        <f t="shared" si="151"/>
        <v>17.142857142857142</v>
      </c>
      <c r="FE17" s="31">
        <f>BX18/B18</f>
        <v>18.125</v>
      </c>
      <c r="FF17" s="31"/>
      <c r="FG17" s="31">
        <f t="shared" si="70"/>
        <v>15.405405405405405</v>
      </c>
      <c r="FH17" s="31">
        <f t="shared" si="153"/>
        <v>8.5585585585585573</v>
      </c>
      <c r="FI17" s="31">
        <f t="shared" si="154"/>
        <v>8.6486486486486474</v>
      </c>
      <c r="FJ17" s="31">
        <f t="shared" si="43"/>
        <v>10.810810810810811</v>
      </c>
      <c r="FK17" s="31">
        <f t="shared" si="155"/>
        <v>33.423423423423422</v>
      </c>
      <c r="FL17" s="31">
        <f t="shared" si="44"/>
        <v>9.6846846846846848</v>
      </c>
      <c r="FM17" s="31">
        <f t="shared" si="45"/>
        <v>9.9099099099099099</v>
      </c>
      <c r="FN17" s="31">
        <f t="shared" si="46"/>
        <v>4.7747747747747749</v>
      </c>
      <c r="FO17" s="31">
        <f t="shared" si="47"/>
        <v>19.27927927927928</v>
      </c>
      <c r="FP17" s="31">
        <f t="shared" si="48"/>
        <v>14.774774774774773</v>
      </c>
      <c r="FQ17" s="31">
        <f t="shared" si="49"/>
        <v>19.031531531531531</v>
      </c>
      <c r="FR17" s="31">
        <f t="shared" si="50"/>
        <v>6.2387387387387383</v>
      </c>
      <c r="FS17" s="3">
        <v>2.63</v>
      </c>
      <c r="FT17" s="29">
        <f>FS17/B17</f>
        <v>5.9234234234234231</v>
      </c>
      <c r="FU17" s="34">
        <v>9.8000000000000004E-2</v>
      </c>
      <c r="FV17" s="34">
        <v>0.109</v>
      </c>
      <c r="FW17" s="34">
        <v>0.107</v>
      </c>
      <c r="FX17" s="34">
        <v>0.223</v>
      </c>
      <c r="FY17" s="34">
        <v>0.20200000000000001</v>
      </c>
      <c r="FZ17" s="34">
        <v>0.23200000000000001</v>
      </c>
      <c r="GA17" s="34">
        <v>0.185</v>
      </c>
      <c r="GB17" s="34">
        <v>0.09</v>
      </c>
      <c r="GC17" s="34">
        <v>0.08</v>
      </c>
      <c r="GD17" s="34">
        <v>7.6999999999999999E-2</v>
      </c>
      <c r="GE17" s="34">
        <v>0.16300000000000001</v>
      </c>
      <c r="GF17" s="3">
        <v>6.5</v>
      </c>
      <c r="GG17" s="3">
        <v>7.2</v>
      </c>
      <c r="GH17" s="23" t="s">
        <v>15</v>
      </c>
      <c r="GI17" s="23">
        <v>7.2</v>
      </c>
      <c r="GJ17" s="23">
        <v>0.3</v>
      </c>
      <c r="GK17" s="23">
        <v>0.4</v>
      </c>
      <c r="GL17" s="36">
        <v>0.44400000000000001</v>
      </c>
      <c r="GM17" s="37">
        <f t="shared" si="146"/>
        <v>0.22072072072072071</v>
      </c>
      <c r="GN17" s="37">
        <f t="shared" si="124"/>
        <v>0.24549549549549549</v>
      </c>
      <c r="GO17" s="37">
        <f t="shared" si="125"/>
        <v>0.24099099099099097</v>
      </c>
      <c r="GP17" s="37">
        <f t="shared" si="126"/>
        <v>0.50225225225225223</v>
      </c>
      <c r="GQ17" s="37">
        <f t="shared" si="127"/>
        <v>0.45495495495495497</v>
      </c>
      <c r="GR17" s="37">
        <f t="shared" si="128"/>
        <v>0.52252252252252251</v>
      </c>
      <c r="GS17" s="37">
        <f t="shared" si="129"/>
        <v>0.41666666666666663</v>
      </c>
      <c r="GT17" s="37">
        <f t="shared" si="130"/>
        <v>0.20270270270270269</v>
      </c>
      <c r="GU17" s="37">
        <f t="shared" si="131"/>
        <v>0.18018018018018017</v>
      </c>
      <c r="GV17" s="37">
        <f t="shared" si="132"/>
        <v>0.17342342342342343</v>
      </c>
      <c r="GW17" s="37">
        <f t="shared" si="133"/>
        <v>0.36711711711711714</v>
      </c>
      <c r="GX17" s="37">
        <f>GF17/GL17</f>
        <v>14.63963963963964</v>
      </c>
      <c r="GY17" s="37">
        <f t="shared" si="156"/>
        <v>16.216216216216218</v>
      </c>
      <c r="GZ17" s="37">
        <f t="shared" si="134"/>
        <v>16.216216216216218</v>
      </c>
      <c r="HA17" s="50">
        <f>GI17/B17</f>
        <v>16.216216216216218</v>
      </c>
      <c r="HB17" s="50">
        <f t="shared" si="135"/>
        <v>0.67567567567567566</v>
      </c>
      <c r="HC17" s="50">
        <f t="shared" si="136"/>
        <v>0.90090090090090091</v>
      </c>
      <c r="HD17" s="23" t="s">
        <v>15</v>
      </c>
      <c r="HE17" s="36">
        <v>0.44400000000000001</v>
      </c>
      <c r="HG17" s="3">
        <f t="shared" si="75"/>
        <v>10.878378378378379</v>
      </c>
      <c r="HH17" s="3">
        <f t="shared" si="76"/>
        <v>10.878378378378379</v>
      </c>
      <c r="HI17" s="3">
        <f t="shared" si="77"/>
        <v>13.693693693693694</v>
      </c>
      <c r="HJ17" s="3">
        <f t="shared" si="52"/>
        <v>0.50800000000000001</v>
      </c>
      <c r="HK17" s="3">
        <f t="shared" si="52"/>
        <v>0.29836800000000002</v>
      </c>
      <c r="HL17" s="3">
        <f t="shared" si="52"/>
        <v>1.9333333333333331</v>
      </c>
      <c r="HM17" s="3">
        <f t="shared" si="52"/>
        <v>1.7763975155279503</v>
      </c>
      <c r="HN17" s="3">
        <f t="shared" si="52"/>
        <v>1.0707236842105263</v>
      </c>
      <c r="HO17" s="3">
        <f t="shared" si="52"/>
        <v>1.7204724409448819</v>
      </c>
      <c r="HP17" s="3">
        <f t="shared" si="52"/>
        <v>1.1339285714285714</v>
      </c>
      <c r="HQ17" s="3">
        <f t="shared" si="52"/>
        <v>0.8793103448275863</v>
      </c>
      <c r="HR17" s="3">
        <f t="shared" si="78"/>
        <v>0.71328671328671334</v>
      </c>
      <c r="HS17" s="3">
        <f t="shared" si="79"/>
        <v>0.84178187403993865</v>
      </c>
      <c r="HT17" s="3">
        <f t="shared" si="80"/>
        <v>0.78260869565217384</v>
      </c>
      <c r="HU17" s="3">
        <f t="shared" si="81"/>
        <v>0.98031496062992118</v>
      </c>
      <c r="HV17" s="36">
        <v>0.44400000000000001</v>
      </c>
      <c r="HW17" s="56"/>
      <c r="HX17" s="23" t="s">
        <v>15</v>
      </c>
      <c r="HZ17" s="63">
        <v>0.97127684934408764</v>
      </c>
      <c r="IA17" s="63">
        <v>2.5723313983863578</v>
      </c>
      <c r="IB17" s="63">
        <v>2.7693813931984534</v>
      </c>
      <c r="IC17" s="63">
        <v>1.8316194968231503</v>
      </c>
      <c r="ID17" s="63">
        <v>0.36527876577296925</v>
      </c>
      <c r="IE17" s="63">
        <v>0.59837129153007929</v>
      </c>
      <c r="IF17" s="63">
        <v>1.5140183183504574</v>
      </c>
      <c r="IG17" s="63">
        <v>0.54763972164041819</v>
      </c>
      <c r="IH17" s="63">
        <v>1.4391970560229299</v>
      </c>
      <c r="II17" s="63">
        <v>0.70638032161704267</v>
      </c>
      <c r="IJ17" s="63">
        <v>1.0272842634527966</v>
      </c>
      <c r="IK17" s="63">
        <v>1.0159828305749108</v>
      </c>
      <c r="IL17" s="63">
        <v>0.57362404727116179</v>
      </c>
      <c r="IM17" s="63">
        <v>0.94050438440735185</v>
      </c>
      <c r="IN17" s="63">
        <v>0.2840672226739247</v>
      </c>
      <c r="IO17" s="63">
        <v>1.2460783516491825</v>
      </c>
      <c r="IP17" s="63">
        <v>1.4032218501009042</v>
      </c>
      <c r="IQ17" s="63">
        <v>1.7951261853738008</v>
      </c>
      <c r="IR17" s="63">
        <v>0.65703809707996619</v>
      </c>
      <c r="IS17" s="63">
        <v>1.9809009746185799</v>
      </c>
      <c r="IT17" s="63">
        <v>1.1325730739847988</v>
      </c>
      <c r="IU17" s="63">
        <v>0.42728092657151057</v>
      </c>
      <c r="IV17" s="63"/>
      <c r="IW17" s="67">
        <v>0.34075787853797113</v>
      </c>
      <c r="IX17" s="67">
        <v>0.1602274266796147</v>
      </c>
      <c r="IY17" s="67">
        <v>0.48277755454534038</v>
      </c>
      <c r="JA17" s="63">
        <v>0.86693626867124751</v>
      </c>
      <c r="JB17" s="63">
        <v>0.88651411880160447</v>
      </c>
      <c r="JC17" s="63">
        <v>0.8273563943550728</v>
      </c>
      <c r="JD17" s="63">
        <v>0.93356418571894961</v>
      </c>
      <c r="JE17" s="63">
        <v>0.69514544249157129</v>
      </c>
      <c r="JF17" s="63">
        <v>1.0805613178159195</v>
      </c>
      <c r="JG17" s="63">
        <v>0.91194651515747782</v>
      </c>
      <c r="JH17" s="63">
        <v>2.25561317543692</v>
      </c>
      <c r="JI17" s="63">
        <v>1.4929554427293334</v>
      </c>
      <c r="JJ17" s="63">
        <v>1.8288094908706076</v>
      </c>
      <c r="JK17" s="63">
        <v>1.6231237597592878</v>
      </c>
      <c r="JL17" s="63">
        <v>1.6962191091308731</v>
      </c>
      <c r="JM17" s="63">
        <v>2.1336706901357969</v>
      </c>
      <c r="JN17" s="63">
        <v>2.8487470417702272</v>
      </c>
      <c r="JO17" s="63">
        <v>1.9350727015612654</v>
      </c>
      <c r="JP17" s="63">
        <v>2.4657001431330352</v>
      </c>
      <c r="JQ17" s="63">
        <v>2.049880229729995</v>
      </c>
      <c r="JS17" s="69"/>
      <c r="JT17" s="69"/>
      <c r="JV17" s="73">
        <f t="shared" si="82"/>
        <v>2.1875604714956927</v>
      </c>
      <c r="JW17" s="73">
        <f t="shared" si="83"/>
        <v>5.7935391855548595</v>
      </c>
      <c r="JX17" s="73">
        <f t="shared" si="84"/>
        <v>6.237345480176697</v>
      </c>
      <c r="JY17" s="73">
        <f t="shared" si="85"/>
        <v>4.1252691369890773</v>
      </c>
      <c r="JZ17" s="73">
        <f t="shared" si="86"/>
        <v>0.82269992291209293</v>
      </c>
      <c r="KA17" s="73">
        <f t="shared" si="87"/>
        <v>1.3476830890317102</v>
      </c>
      <c r="KB17" s="73">
        <f t="shared" si="88"/>
        <v>3.409951167455985</v>
      </c>
      <c r="KC17" s="73">
        <f t="shared" si="89"/>
        <v>1.2334227964874283</v>
      </c>
      <c r="KD17" s="73">
        <f t="shared" si="90"/>
        <v>3.2414348108624549</v>
      </c>
      <c r="KE17" s="73">
        <f t="shared" si="91"/>
        <v>1.5909466703086546</v>
      </c>
      <c r="KF17" s="73">
        <f t="shared" si="92"/>
        <v>2.3137032960648569</v>
      </c>
      <c r="KG17" s="73">
        <f t="shared" si="93"/>
        <v>2.2882496184119612</v>
      </c>
      <c r="KH17" s="73">
        <f t="shared" si="94"/>
        <v>1.2919460524125266</v>
      </c>
      <c r="KI17" s="73">
        <f t="shared" si="95"/>
        <v>2.1182531180345761</v>
      </c>
      <c r="KJ17" s="73">
        <f t="shared" si="96"/>
        <v>0.63979104205838899</v>
      </c>
      <c r="KK17" s="73">
        <f t="shared" si="97"/>
        <v>2.8064827739846452</v>
      </c>
      <c r="KL17" s="73">
        <f t="shared" si="98"/>
        <v>3.1604095722993337</v>
      </c>
      <c r="KM17" s="73">
        <f t="shared" si="99"/>
        <v>4.043076994085137</v>
      </c>
      <c r="KN17" s="73">
        <f t="shared" si="100"/>
        <v>1.4798155339638879</v>
      </c>
      <c r="KO17" s="73">
        <f t="shared" si="101"/>
        <v>4.4614886815733783</v>
      </c>
      <c r="KP17" s="73">
        <f t="shared" si="102"/>
        <v>2.5508402567225197</v>
      </c>
      <c r="KQ17" s="73">
        <f t="shared" si="103"/>
        <v>0.96234442921511387</v>
      </c>
      <c r="KS17" s="66">
        <f t="shared" si="104"/>
        <v>0.76747269940984486</v>
      </c>
      <c r="KT17" s="66">
        <f t="shared" si="105"/>
        <v>0.36087258261174482</v>
      </c>
      <c r="KU17" s="66">
        <f t="shared" si="106"/>
        <v>1.0873368345615775</v>
      </c>
      <c r="KW17" s="32">
        <f t="shared" si="107"/>
        <v>1.9525591636739807</v>
      </c>
      <c r="KX17" s="32">
        <f t="shared" si="108"/>
        <v>1.9966534207243343</v>
      </c>
      <c r="KY17" s="32">
        <f t="shared" si="109"/>
        <v>1.8634153026015152</v>
      </c>
      <c r="KZ17" s="32">
        <f t="shared" si="110"/>
        <v>2.1026220399075441</v>
      </c>
      <c r="LA17" s="32">
        <f t="shared" si="111"/>
        <v>1.5656428884945299</v>
      </c>
      <c r="LB17" s="32">
        <f t="shared" si="112"/>
        <v>2.4336966617475664</v>
      </c>
      <c r="LC17" s="32">
        <f t="shared" si="113"/>
        <v>2.0539335926970219</v>
      </c>
      <c r="LD17" s="32">
        <f t="shared" si="114"/>
        <v>5.0802098545876575</v>
      </c>
      <c r="LE17" s="32">
        <f t="shared" si="115"/>
        <v>3.3625122583993998</v>
      </c>
      <c r="LF17" s="32">
        <f t="shared" si="116"/>
        <v>4.1189402947536209</v>
      </c>
      <c r="LG17" s="32">
        <f t="shared" si="117"/>
        <v>3.6556841436019996</v>
      </c>
      <c r="LH17" s="32">
        <f t="shared" si="118"/>
        <v>3.8203133088533177</v>
      </c>
      <c r="LI17" s="32">
        <f t="shared" si="119"/>
        <v>4.8055646174229656</v>
      </c>
      <c r="LJ17" s="32">
        <f t="shared" si="120"/>
        <v>6.4160969409239348</v>
      </c>
      <c r="LK17" s="32">
        <f t="shared" si="121"/>
        <v>4.3582718503632103</v>
      </c>
      <c r="LL17" s="32">
        <f t="shared" si="122"/>
        <v>5.5533787007500788</v>
      </c>
      <c r="LM17" s="32">
        <f t="shared" si="123"/>
        <v>4.6168473642567456</v>
      </c>
    </row>
    <row r="18" spans="1:325" s="7" customFormat="1" x14ac:dyDescent="0.3">
      <c r="A18" s="15" t="s">
        <v>8</v>
      </c>
      <c r="B18" s="59">
        <v>11.2</v>
      </c>
      <c r="C18" s="7">
        <v>280</v>
      </c>
      <c r="D18" s="57">
        <f t="shared" si="0"/>
        <v>25</v>
      </c>
      <c r="E18">
        <v>125</v>
      </c>
      <c r="F18">
        <v>119</v>
      </c>
      <c r="G18">
        <v>160</v>
      </c>
      <c r="H18">
        <v>141</v>
      </c>
      <c r="I18">
        <v>179</v>
      </c>
      <c r="J18">
        <v>223</v>
      </c>
      <c r="K18">
        <v>228</v>
      </c>
      <c r="L18">
        <v>184</v>
      </c>
      <c r="M18">
        <v>227</v>
      </c>
      <c r="N18">
        <v>201</v>
      </c>
      <c r="O18">
        <v>184</v>
      </c>
      <c r="P18">
        <v>170</v>
      </c>
      <c r="Q18">
        <v>148</v>
      </c>
      <c r="R18">
        <v>163</v>
      </c>
      <c r="S18">
        <v>186</v>
      </c>
      <c r="T18">
        <v>183</v>
      </c>
      <c r="U18">
        <v>176</v>
      </c>
      <c r="V18">
        <v>153</v>
      </c>
      <c r="W18">
        <v>184</v>
      </c>
      <c r="X18">
        <v>177</v>
      </c>
      <c r="Y18">
        <v>205</v>
      </c>
      <c r="Z18">
        <v>177</v>
      </c>
      <c r="AA18">
        <v>191</v>
      </c>
      <c r="AB18">
        <v>181</v>
      </c>
      <c r="AC18">
        <v>183</v>
      </c>
      <c r="AD18">
        <v>150</v>
      </c>
      <c r="AE18">
        <v>147</v>
      </c>
      <c r="AF18">
        <v>160</v>
      </c>
      <c r="AG18">
        <v>157</v>
      </c>
      <c r="AH18">
        <v>161</v>
      </c>
      <c r="AI18">
        <v>164</v>
      </c>
      <c r="AJ18">
        <v>180</v>
      </c>
      <c r="AK18">
        <v>197</v>
      </c>
      <c r="AL18">
        <v>173</v>
      </c>
      <c r="AM18">
        <v>170</v>
      </c>
      <c r="AN18">
        <v>187</v>
      </c>
      <c r="AO18">
        <v>147</v>
      </c>
      <c r="AP18">
        <v>129</v>
      </c>
      <c r="AQ18">
        <v>124</v>
      </c>
      <c r="AR18">
        <v>120</v>
      </c>
      <c r="AS18">
        <v>149</v>
      </c>
      <c r="AT18">
        <v>173</v>
      </c>
      <c r="AU18">
        <v>155</v>
      </c>
      <c r="AV18">
        <v>177</v>
      </c>
      <c r="AW18">
        <v>178</v>
      </c>
      <c r="AX18">
        <v>144</v>
      </c>
      <c r="AY18">
        <v>147</v>
      </c>
      <c r="AZ18">
        <v>135</v>
      </c>
      <c r="BA18">
        <v>167</v>
      </c>
      <c r="BB18">
        <v>156</v>
      </c>
      <c r="BC18">
        <v>91</v>
      </c>
      <c r="BD18">
        <v>108</v>
      </c>
      <c r="BE18">
        <v>115</v>
      </c>
      <c r="BF18">
        <v>244</v>
      </c>
      <c r="BG18">
        <v>233</v>
      </c>
      <c r="BH18">
        <v>183</v>
      </c>
      <c r="BI18">
        <v>175</v>
      </c>
      <c r="BJ18">
        <v>165</v>
      </c>
      <c r="BK18">
        <v>174</v>
      </c>
      <c r="BL18">
        <v>440</v>
      </c>
      <c r="BM18">
        <v>385</v>
      </c>
      <c r="BN18">
        <v>228</v>
      </c>
      <c r="BO18">
        <v>104</v>
      </c>
      <c r="BP18">
        <v>120</v>
      </c>
      <c r="BQ18">
        <v>171</v>
      </c>
      <c r="BR18">
        <v>131</v>
      </c>
      <c r="BS18">
        <v>240</v>
      </c>
      <c r="BT18">
        <v>193</v>
      </c>
      <c r="BU18">
        <v>178</v>
      </c>
      <c r="BV18">
        <v>211</v>
      </c>
      <c r="BW18">
        <v>192</v>
      </c>
      <c r="BX18">
        <v>203</v>
      </c>
      <c r="BY18">
        <v>168</v>
      </c>
      <c r="BZ18">
        <v>212</v>
      </c>
      <c r="CA18">
        <v>138</v>
      </c>
      <c r="CB18">
        <v>133</v>
      </c>
      <c r="CC18">
        <v>138</v>
      </c>
      <c r="CD18">
        <v>164</v>
      </c>
      <c r="CE18">
        <v>99</v>
      </c>
      <c r="CF18">
        <v>135</v>
      </c>
      <c r="CG18">
        <v>100</v>
      </c>
      <c r="CH18">
        <v>210</v>
      </c>
      <c r="CI18" s="7">
        <v>156</v>
      </c>
      <c r="CJ18" s="7">
        <v>275</v>
      </c>
      <c r="CK18" s="7">
        <v>84</v>
      </c>
      <c r="CL18" s="27">
        <f t="shared" si="147"/>
        <v>11.160714285714286</v>
      </c>
      <c r="CM18" s="27">
        <f t="shared" si="1"/>
        <v>10.625</v>
      </c>
      <c r="CN18" s="27">
        <f t="shared" si="138"/>
        <v>14.285714285714286</v>
      </c>
      <c r="CO18" s="27">
        <f t="shared" si="139"/>
        <v>12.589285714285715</v>
      </c>
      <c r="CP18" s="27">
        <f t="shared" si="148"/>
        <v>15.982142857142858</v>
      </c>
      <c r="CQ18" s="27">
        <f t="shared" si="140"/>
        <v>19.910714285714288</v>
      </c>
      <c r="CR18" s="27">
        <f t="shared" si="2"/>
        <v>20.357142857142858</v>
      </c>
      <c r="CS18" s="27">
        <f t="shared" si="55"/>
        <v>20.267857142857146</v>
      </c>
      <c r="CT18" s="27">
        <f t="shared" si="3"/>
        <v>20.267857142857146</v>
      </c>
      <c r="CU18" s="27">
        <f t="shared" si="141"/>
        <v>17.946428571428573</v>
      </c>
      <c r="CV18" s="27">
        <f t="shared" si="4"/>
        <v>16.428571428571431</v>
      </c>
      <c r="CW18" s="27">
        <f t="shared" si="152"/>
        <v>15.178571428571429</v>
      </c>
      <c r="CX18" s="27">
        <f t="shared" si="142"/>
        <v>13.214285714285715</v>
      </c>
      <c r="CY18" s="27">
        <f t="shared" si="143"/>
        <v>14.553571428571429</v>
      </c>
      <c r="CZ18" s="27">
        <f t="shared" si="5"/>
        <v>16.607142857142858</v>
      </c>
      <c r="DA18" s="27">
        <f t="shared" si="6"/>
        <v>16.339285714285715</v>
      </c>
      <c r="DB18" s="27">
        <f t="shared" si="7"/>
        <v>15.714285714285715</v>
      </c>
      <c r="DC18" s="27">
        <f t="shared" si="8"/>
        <v>13.660714285714286</v>
      </c>
      <c r="DD18" s="27">
        <f t="shared" si="9"/>
        <v>16.428571428571431</v>
      </c>
      <c r="DE18" s="27">
        <f t="shared" si="10"/>
        <v>15.803571428571429</v>
      </c>
      <c r="DF18" s="27">
        <f t="shared" si="11"/>
        <v>18.303571428571431</v>
      </c>
      <c r="DG18" s="27">
        <f t="shared" si="12"/>
        <v>15.803571428571429</v>
      </c>
      <c r="DH18" s="27">
        <f t="shared" si="56"/>
        <v>17.053571428571431</v>
      </c>
      <c r="DI18" s="27">
        <f t="shared" si="13"/>
        <v>16.160714285714288</v>
      </c>
      <c r="DJ18" s="27">
        <f t="shared" si="14"/>
        <v>16.339285714285715</v>
      </c>
      <c r="DK18" s="27">
        <f t="shared" si="15"/>
        <v>13.392857142857144</v>
      </c>
      <c r="DL18" s="27">
        <f t="shared" si="16"/>
        <v>13.125</v>
      </c>
      <c r="DM18" s="27">
        <f t="shared" si="17"/>
        <v>14.285714285714286</v>
      </c>
      <c r="DN18" s="27">
        <f t="shared" si="18"/>
        <v>14.017857142857144</v>
      </c>
      <c r="DO18" s="27">
        <f t="shared" si="19"/>
        <v>14.375000000000002</v>
      </c>
      <c r="DP18" s="27">
        <f t="shared" si="20"/>
        <v>14.642857142857144</v>
      </c>
      <c r="DQ18" s="27">
        <f t="shared" si="21"/>
        <v>16.071428571428573</v>
      </c>
      <c r="DR18" s="27">
        <f t="shared" si="22"/>
        <v>17.589285714285715</v>
      </c>
      <c r="DS18" s="27">
        <f t="shared" si="23"/>
        <v>15.446428571428573</v>
      </c>
      <c r="DT18" s="27">
        <f t="shared" si="24"/>
        <v>15.178571428571429</v>
      </c>
      <c r="DU18" s="27">
        <f>AN18/B18</f>
        <v>16.696428571428573</v>
      </c>
      <c r="DV18" s="27">
        <f>AO18/B18</f>
        <v>13.125</v>
      </c>
      <c r="DW18" s="27">
        <f t="shared" si="25"/>
        <v>11.517857142857144</v>
      </c>
      <c r="DX18" s="27">
        <f t="shared" si="57"/>
        <v>11.071428571428573</v>
      </c>
      <c r="DY18" s="27">
        <f t="shared" si="26"/>
        <v>10.714285714285715</v>
      </c>
      <c r="DZ18" s="27">
        <f t="shared" si="27"/>
        <v>13.303571428571429</v>
      </c>
      <c r="EA18" s="27">
        <f t="shared" si="28"/>
        <v>15.446428571428573</v>
      </c>
      <c r="EB18" s="27">
        <f t="shared" si="29"/>
        <v>13.839285714285715</v>
      </c>
      <c r="EC18" s="27">
        <f t="shared" si="30"/>
        <v>15.803571428571429</v>
      </c>
      <c r="ED18" s="27">
        <f t="shared" si="31"/>
        <v>15.892857142857144</v>
      </c>
      <c r="EE18" s="27">
        <f t="shared" si="32"/>
        <v>12.857142857142858</v>
      </c>
      <c r="EF18" s="27">
        <f t="shared" si="33"/>
        <v>13.125</v>
      </c>
      <c r="EG18" s="27">
        <f t="shared" si="34"/>
        <v>12.053571428571429</v>
      </c>
      <c r="EH18" s="27">
        <f t="shared" si="35"/>
        <v>14.910714285714286</v>
      </c>
      <c r="EI18" s="27">
        <f t="shared" si="36"/>
        <v>13.928571428571429</v>
      </c>
      <c r="EJ18" s="27">
        <f t="shared" si="37"/>
        <v>8.125</v>
      </c>
      <c r="EK18" s="27">
        <f t="shared" si="144"/>
        <v>9.6428571428571441</v>
      </c>
      <c r="EL18" s="27">
        <f t="shared" si="38"/>
        <v>10.267857142857144</v>
      </c>
      <c r="EM18" s="27">
        <f t="shared" si="39"/>
        <v>21.785714285714288</v>
      </c>
      <c r="EN18" s="27">
        <f t="shared" si="40"/>
        <v>20.803571428571431</v>
      </c>
      <c r="EO18" s="27">
        <f t="shared" si="149"/>
        <v>16.339285714285715</v>
      </c>
      <c r="EP18" s="27">
        <f t="shared" si="41"/>
        <v>15.625000000000002</v>
      </c>
      <c r="EQ18" s="27">
        <f t="shared" si="58"/>
        <v>14.732142857142858</v>
      </c>
      <c r="ER18" s="27">
        <f t="shared" si="59"/>
        <v>15.535714285714286</v>
      </c>
      <c r="ES18" s="27">
        <f t="shared" si="60"/>
        <v>39.285714285714285</v>
      </c>
      <c r="ET18" s="27">
        <f t="shared" si="61"/>
        <v>34.375</v>
      </c>
      <c r="EU18" s="27">
        <f t="shared" si="62"/>
        <v>20.357142857142858</v>
      </c>
      <c r="EV18" s="27">
        <f t="shared" si="63"/>
        <v>9.2857142857142865</v>
      </c>
      <c r="EW18" s="27">
        <f t="shared" si="64"/>
        <v>10.714285714285715</v>
      </c>
      <c r="EX18" s="27">
        <f t="shared" si="65"/>
        <v>15.267857142857144</v>
      </c>
      <c r="EY18" s="27">
        <f t="shared" si="66"/>
        <v>11.696428571428573</v>
      </c>
      <c r="EZ18" s="27">
        <f t="shared" si="67"/>
        <v>21.428571428571431</v>
      </c>
      <c r="FA18" s="27">
        <f t="shared" si="68"/>
        <v>17.232142857142858</v>
      </c>
      <c r="FB18" s="27">
        <f t="shared" si="69"/>
        <v>15.892857142857144</v>
      </c>
      <c r="FC18" s="31"/>
      <c r="FD18" s="31">
        <f t="shared" si="151"/>
        <v>15.857605177993529</v>
      </c>
      <c r="FE18" s="31">
        <f>BX19/B19</f>
        <v>15.210355987055017</v>
      </c>
      <c r="FF18" s="31">
        <f>BY18/B18</f>
        <v>15.000000000000002</v>
      </c>
      <c r="FG18" s="31">
        <f t="shared" si="70"/>
        <v>18.928571428571431</v>
      </c>
      <c r="FH18" s="31">
        <f t="shared" si="153"/>
        <v>12.321428571428573</v>
      </c>
      <c r="FI18" s="31">
        <f t="shared" si="154"/>
        <v>11.875</v>
      </c>
      <c r="FJ18" s="31">
        <f t="shared" si="43"/>
        <v>12.321428571428573</v>
      </c>
      <c r="FK18" s="31">
        <f t="shared" si="155"/>
        <v>14.642857142857144</v>
      </c>
      <c r="FL18" s="31">
        <f t="shared" si="44"/>
        <v>8.8392857142857153</v>
      </c>
      <c r="FM18" s="31">
        <f t="shared" si="45"/>
        <v>12.053571428571429</v>
      </c>
      <c r="FN18" s="31">
        <f t="shared" si="46"/>
        <v>8.9285714285714288</v>
      </c>
      <c r="FO18" s="31">
        <f t="shared" si="47"/>
        <v>18.75</v>
      </c>
      <c r="FP18" s="31">
        <f t="shared" si="48"/>
        <v>13.928571428571429</v>
      </c>
      <c r="FQ18" s="31">
        <f t="shared" si="49"/>
        <v>24.553571428571431</v>
      </c>
      <c r="FR18" s="31">
        <f t="shared" si="50"/>
        <v>7.5000000000000009</v>
      </c>
      <c r="FS18" s="7">
        <v>74</v>
      </c>
      <c r="FT18" s="29">
        <f>FS18/B18</f>
        <v>6.6071428571428577</v>
      </c>
      <c r="FU18" s="34">
        <v>4.6100000000000003</v>
      </c>
      <c r="FV18" s="34">
        <v>3.66</v>
      </c>
      <c r="FW18" s="34">
        <v>7.31</v>
      </c>
      <c r="FX18" s="34">
        <v>6.43</v>
      </c>
      <c r="FY18" s="34">
        <v>2.65</v>
      </c>
      <c r="FZ18" s="34">
        <v>4.08</v>
      </c>
      <c r="GA18" s="34">
        <v>3.75</v>
      </c>
      <c r="GB18" s="34">
        <v>1.9</v>
      </c>
      <c r="GC18" s="34">
        <v>2.5</v>
      </c>
      <c r="GD18" s="34">
        <v>2.5299999999999998</v>
      </c>
      <c r="GE18" s="34">
        <v>3.1</v>
      </c>
      <c r="GF18" s="7">
        <v>239</v>
      </c>
      <c r="GG18" s="7">
        <v>264</v>
      </c>
      <c r="GH18" s="15" t="s">
        <v>8</v>
      </c>
      <c r="GI18" s="15">
        <v>192</v>
      </c>
      <c r="GJ18" s="15">
        <v>11.3</v>
      </c>
      <c r="GK18" s="15">
        <v>10</v>
      </c>
      <c r="GL18" s="36">
        <v>11.2</v>
      </c>
      <c r="GM18" s="37">
        <f t="shared" si="146"/>
        <v>0.41160714285714289</v>
      </c>
      <c r="GN18" s="37">
        <f t="shared" si="124"/>
        <v>0.32678571428571435</v>
      </c>
      <c r="GO18" s="37">
        <f t="shared" si="125"/>
        <v>0.65267857142857144</v>
      </c>
      <c r="GP18" s="37">
        <f t="shared" si="126"/>
        <v>0.57410714285714282</v>
      </c>
      <c r="GQ18" s="37">
        <f t="shared" si="127"/>
        <v>0.23660714285714288</v>
      </c>
      <c r="GR18" s="37">
        <f t="shared" si="128"/>
        <v>0.36428571428571432</v>
      </c>
      <c r="GS18" s="37">
        <f t="shared" si="129"/>
        <v>0.3348214285714286</v>
      </c>
      <c r="GT18" s="37">
        <f t="shared" si="130"/>
        <v>0.16964285714285715</v>
      </c>
      <c r="GU18" s="37">
        <f t="shared" si="131"/>
        <v>0.22321428571428573</v>
      </c>
      <c r="GV18" s="37">
        <f t="shared" si="132"/>
        <v>0.22589285714285715</v>
      </c>
      <c r="GW18" s="37">
        <f t="shared" si="133"/>
        <v>0.2767857142857143</v>
      </c>
      <c r="GX18" s="37">
        <f>GF18/GL18</f>
        <v>21.339285714285715</v>
      </c>
      <c r="GY18" s="37">
        <f t="shared" si="156"/>
        <v>23.571428571428573</v>
      </c>
      <c r="GZ18" s="37">
        <f t="shared" si="134"/>
        <v>17.142857142857142</v>
      </c>
      <c r="HA18" s="50">
        <f>GI18/B18</f>
        <v>17.142857142857142</v>
      </c>
      <c r="HB18" s="50">
        <f t="shared" si="135"/>
        <v>1.0089285714285716</v>
      </c>
      <c r="HC18" s="50">
        <f t="shared" si="136"/>
        <v>0.8928571428571429</v>
      </c>
      <c r="HD18" s="15" t="s">
        <v>8</v>
      </c>
      <c r="HE18" s="36">
        <v>11.2</v>
      </c>
      <c r="HG18" s="3">
        <f t="shared" si="75"/>
        <v>10.625</v>
      </c>
      <c r="HH18" s="3">
        <f t="shared" si="76"/>
        <v>10.625</v>
      </c>
      <c r="HI18" s="3">
        <f t="shared" si="77"/>
        <v>14.285714285714286</v>
      </c>
      <c r="HJ18" s="3">
        <f t="shared" si="52"/>
        <v>0.50357142857142856</v>
      </c>
      <c r="HK18" s="3">
        <f t="shared" si="52"/>
        <v>7.16</v>
      </c>
      <c r="HL18" s="3">
        <f t="shared" si="52"/>
        <v>1.784</v>
      </c>
      <c r="HM18" s="3">
        <f t="shared" si="52"/>
        <v>1.9159663865546219</v>
      </c>
      <c r="HN18" s="3">
        <f t="shared" si="52"/>
        <v>1.1499999999999999</v>
      </c>
      <c r="HO18" s="3">
        <f t="shared" si="52"/>
        <v>1.6099290780141844</v>
      </c>
      <c r="HP18" s="3">
        <f t="shared" si="52"/>
        <v>1.1229050279329609</v>
      </c>
      <c r="HQ18" s="3">
        <f t="shared" si="52"/>
        <v>0.82511210762331844</v>
      </c>
      <c r="HR18" s="3">
        <f t="shared" si="78"/>
        <v>0.74561403508771928</v>
      </c>
      <c r="HS18" s="3">
        <f t="shared" si="79"/>
        <v>0.80434782608695654</v>
      </c>
      <c r="HT18" s="3">
        <f t="shared" si="80"/>
        <v>0.7180616740088106</v>
      </c>
      <c r="HU18" s="3">
        <f t="shared" si="81"/>
        <v>0.92537313432835822</v>
      </c>
      <c r="HV18" s="36">
        <v>11.2</v>
      </c>
      <c r="HW18" s="56"/>
      <c r="HX18" s="15" t="s">
        <v>8</v>
      </c>
      <c r="HZ18" s="63">
        <v>36.703435791850957</v>
      </c>
      <c r="IA18" s="63">
        <v>105.51027540567875</v>
      </c>
      <c r="IB18" s="63">
        <v>105.52378686265283</v>
      </c>
      <c r="IC18" s="63">
        <v>62.38342636769309</v>
      </c>
      <c r="ID18" s="63">
        <v>9.7030965897625006</v>
      </c>
      <c r="IE18" s="63">
        <v>14.272399506088748</v>
      </c>
      <c r="IF18" s="63">
        <v>59.655156181905838</v>
      </c>
      <c r="IG18" s="63">
        <v>14.682713117253405</v>
      </c>
      <c r="IH18" s="63">
        <v>57.758189561666789</v>
      </c>
      <c r="II18" s="63">
        <v>14.859285414726628</v>
      </c>
      <c r="IJ18" s="63">
        <v>36.010060172025725</v>
      </c>
      <c r="IK18" s="63">
        <v>39.430869032698652</v>
      </c>
      <c r="IL18" s="63">
        <v>20.743167878588331</v>
      </c>
      <c r="IM18" s="63">
        <v>29.803381249739655</v>
      </c>
      <c r="IN18" s="63">
        <v>8.3857276114682247</v>
      </c>
      <c r="IO18" s="63">
        <v>46.299809116037849</v>
      </c>
      <c r="IP18" s="63">
        <v>50.457045756819596</v>
      </c>
      <c r="IQ18" s="63">
        <v>70.129468409726783</v>
      </c>
      <c r="IR18" s="63">
        <v>19.559656663749074</v>
      </c>
      <c r="IS18" s="63">
        <v>60.617218555618386</v>
      </c>
      <c r="IT18" s="63">
        <v>45.542716589695146</v>
      </c>
      <c r="IU18" s="63">
        <v>8.3113588345197602</v>
      </c>
      <c r="IV18" s="63"/>
      <c r="IW18" s="67">
        <v>5.9480926743438163</v>
      </c>
      <c r="IX18" s="67">
        <v>2.2438634698721347</v>
      </c>
      <c r="IY18" s="67">
        <v>17.257511184133492</v>
      </c>
      <c r="JA18" s="63">
        <v>9.8948884474464176</v>
      </c>
      <c r="JB18" s="63">
        <v>8.1439495504064325</v>
      </c>
      <c r="JC18" s="63">
        <v>8.1114226475913487</v>
      </c>
      <c r="JD18" s="63">
        <v>12.746960684786456</v>
      </c>
      <c r="JE18" s="63">
        <v>7.1803957905975713</v>
      </c>
      <c r="JF18" s="63">
        <v>10.33985584371041</v>
      </c>
      <c r="JG18" s="63">
        <v>10.524609319781648</v>
      </c>
      <c r="JH18" s="63">
        <v>29.447353442934794</v>
      </c>
      <c r="JI18" s="63">
        <v>19.774122440305995</v>
      </c>
      <c r="JJ18" s="63">
        <v>21.873208340425748</v>
      </c>
      <c r="JK18" s="63">
        <v>20.854422700756388</v>
      </c>
      <c r="JL18" s="63">
        <v>26.043931860430138</v>
      </c>
      <c r="JM18" s="63">
        <v>26.541881660811523</v>
      </c>
      <c r="JN18" s="63">
        <v>46.462859463093963</v>
      </c>
      <c r="JO18" s="68">
        <v>25.731210277626609</v>
      </c>
      <c r="JP18" s="68">
        <v>35.022292121165613</v>
      </c>
      <c r="JQ18" s="68">
        <v>26.511279925377032</v>
      </c>
      <c r="JS18" s="70"/>
      <c r="JT18" s="70"/>
      <c r="JV18" s="73">
        <f t="shared" si="82"/>
        <v>3.2770924814152642</v>
      </c>
      <c r="JW18" s="73">
        <f t="shared" si="83"/>
        <v>9.4205603040784602</v>
      </c>
      <c r="JX18" s="73">
        <f t="shared" si="84"/>
        <v>9.4217666841654317</v>
      </c>
      <c r="JY18" s="73">
        <f t="shared" si="85"/>
        <v>5.5699487828297407</v>
      </c>
      <c r="JZ18" s="73">
        <f t="shared" si="86"/>
        <v>0.86634790980022336</v>
      </c>
      <c r="KA18" s="73">
        <f t="shared" si="87"/>
        <v>1.2743213844722097</v>
      </c>
      <c r="KB18" s="73">
        <f t="shared" si="88"/>
        <v>5.3263532305273076</v>
      </c>
      <c r="KC18" s="73">
        <f t="shared" si="89"/>
        <v>1.310956528326197</v>
      </c>
      <c r="KD18" s="73">
        <f t="shared" si="90"/>
        <v>5.1569812108631066</v>
      </c>
      <c r="KE18" s="73">
        <f t="shared" si="91"/>
        <v>1.3267219120291633</v>
      </c>
      <c r="KF18" s="73">
        <f t="shared" si="92"/>
        <v>3.2151839439308683</v>
      </c>
      <c r="KG18" s="73">
        <f t="shared" si="93"/>
        <v>3.5206133064909513</v>
      </c>
      <c r="KH18" s="73">
        <f t="shared" si="94"/>
        <v>1.8520685605882439</v>
      </c>
      <c r="KI18" s="73">
        <f t="shared" si="95"/>
        <v>2.6610161830124692</v>
      </c>
      <c r="KJ18" s="73">
        <f t="shared" si="96"/>
        <v>0.74872567959537728</v>
      </c>
      <c r="KK18" s="73">
        <f t="shared" si="97"/>
        <v>4.1339115282176655</v>
      </c>
      <c r="KL18" s="73">
        <f t="shared" si="98"/>
        <v>4.5050933711446071</v>
      </c>
      <c r="KM18" s="73">
        <f t="shared" si="99"/>
        <v>6.261559679439892</v>
      </c>
      <c r="KN18" s="73">
        <f t="shared" si="100"/>
        <v>1.7463979164061674</v>
      </c>
      <c r="KO18" s="73">
        <f t="shared" si="101"/>
        <v>5.4122516567516419</v>
      </c>
      <c r="KP18" s="73">
        <f t="shared" si="102"/>
        <v>4.0663139812227813</v>
      </c>
      <c r="KQ18" s="73">
        <f t="shared" si="103"/>
        <v>0.74208561022497865</v>
      </c>
      <c r="KS18" s="66">
        <f t="shared" si="104"/>
        <v>0.53107970306641217</v>
      </c>
      <c r="KT18" s="66">
        <f t="shared" si="105"/>
        <v>0.20034495266715491</v>
      </c>
      <c r="KU18" s="66">
        <f t="shared" si="106"/>
        <v>1.5408492128690618</v>
      </c>
      <c r="KW18" s="32">
        <f t="shared" si="107"/>
        <v>0.88347218280771589</v>
      </c>
      <c r="KX18" s="32">
        <f t="shared" si="108"/>
        <v>0.72713835271486005</v>
      </c>
      <c r="KY18" s="32">
        <f t="shared" si="109"/>
        <v>0.72423416496351334</v>
      </c>
      <c r="KZ18" s="32">
        <f t="shared" si="110"/>
        <v>1.1381214897130765</v>
      </c>
      <c r="LA18" s="32">
        <f t="shared" si="111"/>
        <v>0.64110676701764036</v>
      </c>
      <c r="LB18" s="32">
        <f t="shared" si="112"/>
        <v>0.923201414617001</v>
      </c>
      <c r="LC18" s="32">
        <f t="shared" si="113"/>
        <v>0.93969726069479009</v>
      </c>
      <c r="LD18" s="32">
        <f t="shared" si="114"/>
        <v>2.6292279859763212</v>
      </c>
      <c r="LE18" s="32">
        <f t="shared" si="115"/>
        <v>1.7655466464558924</v>
      </c>
      <c r="LF18" s="32">
        <f t="shared" si="116"/>
        <v>1.9529650303951562</v>
      </c>
      <c r="LG18" s="32">
        <f t="shared" si="117"/>
        <v>1.8620020268532491</v>
      </c>
      <c r="LH18" s="32">
        <f t="shared" si="118"/>
        <v>2.3253510589669766</v>
      </c>
      <c r="LI18" s="32">
        <f t="shared" si="119"/>
        <v>2.3698108625724577</v>
      </c>
      <c r="LJ18" s="32">
        <f t="shared" si="120"/>
        <v>4.1484695949191037</v>
      </c>
      <c r="LK18" s="32">
        <f t="shared" si="121"/>
        <v>2.2974294890738043</v>
      </c>
      <c r="LL18" s="32">
        <f t="shared" si="122"/>
        <v>3.1269903679612154</v>
      </c>
      <c r="LM18" s="32">
        <f t="shared" si="123"/>
        <v>2.3670785647658064</v>
      </c>
    </row>
    <row r="19" spans="1:325" x14ac:dyDescent="0.3">
      <c r="A19" s="11" t="s">
        <v>20</v>
      </c>
      <c r="B19" s="59">
        <v>0.309</v>
      </c>
      <c r="C19" s="3">
        <v>7.8</v>
      </c>
      <c r="D19" s="57">
        <f t="shared" si="0"/>
        <v>25.242718446601941</v>
      </c>
      <c r="E19"/>
      <c r="F19">
        <v>3</v>
      </c>
      <c r="G19">
        <v>4.2</v>
      </c>
      <c r="H19">
        <v>3.9</v>
      </c>
      <c r="I19"/>
      <c r="J19">
        <v>6.2</v>
      </c>
      <c r="K19">
        <v>10.4</v>
      </c>
      <c r="L19"/>
      <c r="M19">
        <v>2.6</v>
      </c>
      <c r="N19">
        <v>5.2</v>
      </c>
      <c r="O19">
        <v>4.5999999999999996</v>
      </c>
      <c r="P19">
        <v>4.5</v>
      </c>
      <c r="Q19">
        <v>3.8</v>
      </c>
      <c r="R19">
        <v>4.5</v>
      </c>
      <c r="S19">
        <v>5.7</v>
      </c>
      <c r="T19">
        <v>5</v>
      </c>
      <c r="U19">
        <v>4.8</v>
      </c>
      <c r="V19">
        <v>4</v>
      </c>
      <c r="W19">
        <v>5</v>
      </c>
      <c r="X19">
        <v>5</v>
      </c>
      <c r="Y19">
        <v>5.8</v>
      </c>
      <c r="Z19">
        <v>5</v>
      </c>
      <c r="AA19">
        <v>5.64</v>
      </c>
      <c r="AB19">
        <v>5.0999999999999996</v>
      </c>
      <c r="AC19">
        <v>3</v>
      </c>
      <c r="AD19">
        <v>7.1</v>
      </c>
      <c r="AE19">
        <v>8.8000000000000007</v>
      </c>
      <c r="AF19">
        <v>2.9</v>
      </c>
      <c r="AG19">
        <v>4.9000000000000004</v>
      </c>
      <c r="AH19">
        <v>0.5</v>
      </c>
      <c r="AI19">
        <v>1.6</v>
      </c>
      <c r="AJ19">
        <v>9.1</v>
      </c>
      <c r="AK19">
        <v>2.4</v>
      </c>
      <c r="AL19">
        <v>3.3</v>
      </c>
      <c r="AM19">
        <v>1.3</v>
      </c>
      <c r="AN19"/>
      <c r="AO19"/>
      <c r="AP19">
        <v>3.2</v>
      </c>
      <c r="AQ19">
        <v>3.36</v>
      </c>
      <c r="AR19">
        <v>3.2</v>
      </c>
      <c r="AS19">
        <v>4.4000000000000004</v>
      </c>
      <c r="AT19">
        <v>2.6</v>
      </c>
      <c r="AU19">
        <v>3.82</v>
      </c>
      <c r="AV19">
        <v>4.4000000000000004</v>
      </c>
      <c r="AW19">
        <v>4.5999999999999996</v>
      </c>
      <c r="AX19">
        <v>3.6</v>
      </c>
      <c r="AY19">
        <v>3.7</v>
      </c>
      <c r="AZ19">
        <v>3.4</v>
      </c>
      <c r="BA19">
        <v>4.3</v>
      </c>
      <c r="BB19">
        <v>3.8</v>
      </c>
      <c r="BC19">
        <v>2.1</v>
      </c>
      <c r="BD19">
        <v>2.6</v>
      </c>
      <c r="BE19">
        <v>2.6</v>
      </c>
      <c r="BF19">
        <v>3.1</v>
      </c>
      <c r="BG19">
        <v>4.8</v>
      </c>
      <c r="BH19"/>
      <c r="BI19">
        <v>1.2</v>
      </c>
      <c r="BJ19">
        <v>4.5999999999999996</v>
      </c>
      <c r="BK19">
        <v>4.88</v>
      </c>
      <c r="BL19">
        <v>7.46</v>
      </c>
      <c r="BM19">
        <v>5.0199999999999996</v>
      </c>
      <c r="BN19">
        <v>6.53</v>
      </c>
      <c r="BO19">
        <v>2.89</v>
      </c>
      <c r="BP19">
        <v>2.98</v>
      </c>
      <c r="BQ19">
        <v>4.78</v>
      </c>
      <c r="BR19">
        <v>3.68</v>
      </c>
      <c r="BS19">
        <v>7.1</v>
      </c>
      <c r="BT19">
        <v>5.55</v>
      </c>
      <c r="BU19">
        <v>4.84</v>
      </c>
      <c r="BV19"/>
      <c r="BW19">
        <v>4.9000000000000004</v>
      </c>
      <c r="BX19">
        <v>4.7</v>
      </c>
      <c r="BY19"/>
      <c r="BZ19">
        <v>4.9000000000000004</v>
      </c>
      <c r="CA19">
        <v>2.6</v>
      </c>
      <c r="CB19">
        <v>2.9</v>
      </c>
      <c r="CC19"/>
      <c r="CD19">
        <v>4.0199999999999996</v>
      </c>
      <c r="CE19">
        <v>2.7</v>
      </c>
      <c r="CF19">
        <v>3.2</v>
      </c>
      <c r="CG19">
        <v>1.83</v>
      </c>
      <c r="CH19">
        <v>5.85</v>
      </c>
      <c r="CI19" s="3">
        <v>3.74</v>
      </c>
      <c r="CJ19" s="3">
        <v>5.36</v>
      </c>
      <c r="CK19" s="3">
        <v>1.9</v>
      </c>
      <c r="CL19" s="27"/>
      <c r="CM19" s="27">
        <f t="shared" si="1"/>
        <v>9.7087378640776691</v>
      </c>
      <c r="CN19" s="27">
        <f t="shared" si="138"/>
        <v>13.592233009708739</v>
      </c>
      <c r="CO19" s="27">
        <f t="shared" si="139"/>
        <v>12.621359223300971</v>
      </c>
      <c r="CP19" s="27"/>
      <c r="CQ19" s="27">
        <f t="shared" si="140"/>
        <v>20.064724919093852</v>
      </c>
      <c r="CR19" s="27">
        <f t="shared" si="2"/>
        <v>33.656957928802591</v>
      </c>
      <c r="CS19" s="27">
        <f t="shared" si="55"/>
        <v>8.4142394822006477</v>
      </c>
      <c r="CT19" s="27">
        <f t="shared" si="3"/>
        <v>8.4142394822006477</v>
      </c>
      <c r="CU19" s="27">
        <f t="shared" si="141"/>
        <v>16.828478964401295</v>
      </c>
      <c r="CV19" s="27">
        <f t="shared" si="4"/>
        <v>14.886731391585759</v>
      </c>
      <c r="CW19" s="27">
        <f t="shared" si="152"/>
        <v>14.563106796116505</v>
      </c>
      <c r="CX19" s="27">
        <f t="shared" si="142"/>
        <v>12.297734627831714</v>
      </c>
      <c r="CY19" s="27">
        <f t="shared" si="143"/>
        <v>14.563106796116505</v>
      </c>
      <c r="CZ19" s="27">
        <f t="shared" si="5"/>
        <v>18.446601941747574</v>
      </c>
      <c r="DA19" s="27">
        <f t="shared" si="6"/>
        <v>16.181229773462782</v>
      </c>
      <c r="DB19" s="27">
        <f t="shared" si="7"/>
        <v>15.533980582524272</v>
      </c>
      <c r="DC19" s="27">
        <f t="shared" si="8"/>
        <v>12.944983818770227</v>
      </c>
      <c r="DD19" s="27">
        <f t="shared" si="9"/>
        <v>16.181229773462782</v>
      </c>
      <c r="DE19" s="27">
        <f t="shared" si="10"/>
        <v>16.181229773462782</v>
      </c>
      <c r="DF19" s="27">
        <f t="shared" si="11"/>
        <v>18.770226537216828</v>
      </c>
      <c r="DG19" s="27">
        <f t="shared" si="12"/>
        <v>16.181229773462782</v>
      </c>
      <c r="DH19" s="27">
        <f t="shared" si="56"/>
        <v>18.252427184466018</v>
      </c>
      <c r="DI19" s="27">
        <f t="shared" si="13"/>
        <v>16.504854368932037</v>
      </c>
      <c r="DJ19" s="27">
        <f t="shared" si="14"/>
        <v>9.7087378640776691</v>
      </c>
      <c r="DK19" s="27">
        <f t="shared" si="15"/>
        <v>22.97734627831715</v>
      </c>
      <c r="DL19" s="27">
        <f t="shared" si="16"/>
        <v>28.478964401294501</v>
      </c>
      <c r="DM19" s="27">
        <f t="shared" si="17"/>
        <v>9.3851132686084142</v>
      </c>
      <c r="DN19" s="27">
        <f t="shared" si="18"/>
        <v>15.857605177993529</v>
      </c>
      <c r="DO19" s="27">
        <f t="shared" si="19"/>
        <v>1.6181229773462784</v>
      </c>
      <c r="DP19" s="27">
        <f t="shared" si="20"/>
        <v>5.1779935275080913</v>
      </c>
      <c r="DQ19" s="27">
        <f t="shared" si="21"/>
        <v>29.449838187702266</v>
      </c>
      <c r="DR19" s="27">
        <f t="shared" si="22"/>
        <v>7.766990291262136</v>
      </c>
      <c r="DS19" s="27">
        <f t="shared" si="23"/>
        <v>10.679611650485436</v>
      </c>
      <c r="DT19" s="27">
        <f t="shared" si="24"/>
        <v>4.2071197411003238</v>
      </c>
      <c r="DU19" s="27"/>
      <c r="DV19" s="27"/>
      <c r="DW19" s="27">
        <f t="shared" si="25"/>
        <v>10.355987055016183</v>
      </c>
      <c r="DX19" s="27">
        <f t="shared" si="57"/>
        <v>10.873786407766991</v>
      </c>
      <c r="DY19" s="27">
        <f t="shared" si="26"/>
        <v>10.355987055016183</v>
      </c>
      <c r="DZ19" s="27">
        <f t="shared" si="27"/>
        <v>14.239482200647251</v>
      </c>
      <c r="EA19" s="27">
        <f t="shared" si="28"/>
        <v>8.4142394822006477</v>
      </c>
      <c r="EB19" s="27">
        <f t="shared" si="29"/>
        <v>12.362459546925566</v>
      </c>
      <c r="EC19" s="27">
        <f t="shared" si="30"/>
        <v>14.239482200647251</v>
      </c>
      <c r="ED19" s="27">
        <f t="shared" si="31"/>
        <v>14.886731391585759</v>
      </c>
      <c r="EE19" s="27">
        <f t="shared" si="32"/>
        <v>11.650485436893204</v>
      </c>
      <c r="EF19" s="27">
        <f t="shared" si="33"/>
        <v>11.974110032362461</v>
      </c>
      <c r="EG19" s="27">
        <f t="shared" si="34"/>
        <v>11.003236245954692</v>
      </c>
      <c r="EH19" s="27">
        <f t="shared" si="35"/>
        <v>13.915857605177994</v>
      </c>
      <c r="EI19" s="27">
        <f t="shared" si="36"/>
        <v>12.297734627831714</v>
      </c>
      <c r="EJ19" s="27">
        <f t="shared" si="37"/>
        <v>6.7961165048543695</v>
      </c>
      <c r="EK19" s="27">
        <f t="shared" si="144"/>
        <v>8.4142394822006477</v>
      </c>
      <c r="EL19" s="27">
        <f t="shared" si="38"/>
        <v>8.4142394822006477</v>
      </c>
      <c r="EM19" s="27">
        <f t="shared" si="39"/>
        <v>10.032362459546926</v>
      </c>
      <c r="EN19" s="27">
        <f t="shared" si="40"/>
        <v>15.533980582524272</v>
      </c>
      <c r="EO19" s="27"/>
      <c r="EP19" s="27">
        <f t="shared" si="41"/>
        <v>3.883495145631068</v>
      </c>
      <c r="EQ19" s="27">
        <f t="shared" si="58"/>
        <v>14.886731391585759</v>
      </c>
      <c r="ER19" s="27">
        <f t="shared" si="59"/>
        <v>15.792880258899677</v>
      </c>
      <c r="ES19" s="27">
        <f t="shared" si="60"/>
        <v>24.142394822006473</v>
      </c>
      <c r="ET19" s="27">
        <f t="shared" si="61"/>
        <v>16.245954692556634</v>
      </c>
      <c r="EU19" s="27">
        <f t="shared" si="62"/>
        <v>21.132686084142396</v>
      </c>
      <c r="EV19" s="27">
        <f t="shared" si="63"/>
        <v>9.3527508090614884</v>
      </c>
      <c r="EW19" s="27">
        <f t="shared" si="64"/>
        <v>9.6440129449838192</v>
      </c>
      <c r="EX19" s="27">
        <f t="shared" si="65"/>
        <v>15.469255663430422</v>
      </c>
      <c r="EY19" s="27">
        <f t="shared" si="66"/>
        <v>11.909385113268609</v>
      </c>
      <c r="EZ19" s="27">
        <f t="shared" si="67"/>
        <v>22.97734627831715</v>
      </c>
      <c r="FA19" s="27">
        <f t="shared" si="68"/>
        <v>17.961165048543688</v>
      </c>
      <c r="FB19" s="27">
        <f t="shared" si="69"/>
        <v>15.663430420711974</v>
      </c>
      <c r="FC19" s="31"/>
      <c r="FD19" s="31">
        <f t="shared" si="151"/>
        <v>9.8809523809523796</v>
      </c>
      <c r="FE19" s="31"/>
      <c r="FF19" s="31"/>
      <c r="FG19" s="31">
        <f t="shared" si="70"/>
        <v>15.857605177993529</v>
      </c>
      <c r="FH19" s="31">
        <f t="shared" si="153"/>
        <v>8.4142394822006477</v>
      </c>
      <c r="FI19" s="31">
        <f t="shared" si="154"/>
        <v>9.3851132686084142</v>
      </c>
      <c r="FJ19" s="31">
        <f t="shared" si="43"/>
        <v>0</v>
      </c>
      <c r="FK19" s="31">
        <f t="shared" si="155"/>
        <v>13.009708737864077</v>
      </c>
      <c r="FL19" s="31">
        <f t="shared" si="44"/>
        <v>8.7378640776699044</v>
      </c>
      <c r="FM19" s="31">
        <f t="shared" si="45"/>
        <v>10.355987055016183</v>
      </c>
      <c r="FN19" s="31">
        <f t="shared" si="46"/>
        <v>5.9223300970873787</v>
      </c>
      <c r="FO19" s="31">
        <f t="shared" si="47"/>
        <v>18.932038834951456</v>
      </c>
      <c r="FP19" s="31">
        <f t="shared" si="48"/>
        <v>12.103559870550162</v>
      </c>
      <c r="FQ19" s="31">
        <f t="shared" si="49"/>
        <v>17.346278317152105</v>
      </c>
      <c r="FR19" s="31">
        <f t="shared" si="50"/>
        <v>6.1488673139158569</v>
      </c>
      <c r="FS19" s="3">
        <v>2.0499999999999998</v>
      </c>
      <c r="FT19" s="29">
        <f>FS19/B19</f>
        <v>6.6343042071197402</v>
      </c>
      <c r="FU19" s="34">
        <v>0.11</v>
      </c>
      <c r="FV19" s="34">
        <v>0.1</v>
      </c>
      <c r="FW19" s="34">
        <v>0.14000000000000001</v>
      </c>
      <c r="FX19" s="34">
        <v>0.14000000000000001</v>
      </c>
      <c r="FY19" s="34">
        <v>0.09</v>
      </c>
      <c r="FZ19" s="34">
        <v>0.14000000000000001</v>
      </c>
      <c r="GA19" s="34">
        <v>0.1</v>
      </c>
      <c r="GB19" s="34">
        <v>0.06</v>
      </c>
      <c r="GC19" s="34">
        <v>0.06</v>
      </c>
      <c r="GD19" s="34">
        <v>0.03</v>
      </c>
      <c r="GE19" s="34">
        <v>0.08</v>
      </c>
      <c r="GF19" s="3">
        <v>5</v>
      </c>
      <c r="GG19" s="3">
        <v>5.5</v>
      </c>
      <c r="GH19" s="23" t="s">
        <v>20</v>
      </c>
      <c r="GI19" s="23"/>
      <c r="GJ19" s="23"/>
      <c r="GK19" s="23"/>
      <c r="GL19" s="36">
        <v>0.309</v>
      </c>
      <c r="GM19" s="37">
        <f t="shared" si="146"/>
        <v>0.35598705501618122</v>
      </c>
      <c r="GN19" s="37">
        <f t="shared" si="124"/>
        <v>0.3236245954692557</v>
      </c>
      <c r="GO19" s="37">
        <f t="shared" si="125"/>
        <v>0.45307443365695799</v>
      </c>
      <c r="GP19" s="37">
        <f t="shared" si="126"/>
        <v>0.45307443365695799</v>
      </c>
      <c r="GQ19" s="37">
        <f t="shared" si="127"/>
        <v>0.29126213592233008</v>
      </c>
      <c r="GR19" s="37">
        <f t="shared" si="128"/>
        <v>0.45307443365695799</v>
      </c>
      <c r="GS19" s="37">
        <f t="shared" si="129"/>
        <v>0.3236245954692557</v>
      </c>
      <c r="GT19" s="37">
        <f t="shared" si="130"/>
        <v>0.1941747572815534</v>
      </c>
      <c r="GU19" s="37">
        <f t="shared" si="131"/>
        <v>0.1941747572815534</v>
      </c>
      <c r="GV19" s="37">
        <f t="shared" si="132"/>
        <v>9.7087378640776698E-2</v>
      </c>
      <c r="GW19" s="37">
        <f t="shared" si="133"/>
        <v>0.25889967637540456</v>
      </c>
      <c r="GX19" s="37">
        <f>GF19/GL19</f>
        <v>16.181229773462782</v>
      </c>
      <c r="GY19" s="37">
        <f t="shared" si="156"/>
        <v>17.79935275080906</v>
      </c>
      <c r="GZ19" s="37"/>
      <c r="HA19" s="50"/>
      <c r="HB19" s="50"/>
      <c r="HC19" s="50"/>
      <c r="HD19" s="23" t="s">
        <v>20</v>
      </c>
      <c r="HE19" s="36">
        <v>0.309</v>
      </c>
      <c r="HG19" s="3">
        <f t="shared" si="75"/>
        <v>9.7087378640776691</v>
      </c>
      <c r="HH19" s="3">
        <f t="shared" si="76"/>
        <v>9.7087378640776691</v>
      </c>
      <c r="HI19" s="3">
        <f t="shared" si="77"/>
        <v>13.592233009708739</v>
      </c>
      <c r="HJ19" s="3">
        <f t="shared" si="77"/>
        <v>0.5</v>
      </c>
      <c r="HK19" s="3">
        <f t="shared" si="77"/>
        <v>0</v>
      </c>
      <c r="HM19" s="3">
        <f t="shared" si="77"/>
        <v>3.4666666666666668</v>
      </c>
      <c r="HN19" s="3">
        <f t="shared" si="77"/>
        <v>0</v>
      </c>
      <c r="HO19" s="3">
        <f t="shared" si="77"/>
        <v>0.66666666666666674</v>
      </c>
      <c r="HQ19" s="3">
        <f t="shared" si="77"/>
        <v>0.74193548387096764</v>
      </c>
      <c r="HR19" s="3">
        <f t="shared" si="78"/>
        <v>0.43269230769230765</v>
      </c>
      <c r="HT19" s="3">
        <f t="shared" si="80"/>
        <v>1.7307692307692306</v>
      </c>
      <c r="HU19" s="3">
        <f t="shared" si="81"/>
        <v>1.0961538461538463</v>
      </c>
      <c r="HV19" s="36">
        <v>0.309</v>
      </c>
      <c r="HW19" s="56"/>
      <c r="HX19" s="23" t="s">
        <v>20</v>
      </c>
      <c r="HZ19" s="63">
        <v>1.2718151927063053</v>
      </c>
      <c r="IA19" s="63">
        <v>2.961066362996998</v>
      </c>
      <c r="IB19" s="63">
        <v>3.1090279304940798</v>
      </c>
      <c r="IC19" s="63">
        <v>1.8404188212113393</v>
      </c>
      <c r="ID19" s="63">
        <v>0.41393112390506998</v>
      </c>
      <c r="IE19" s="63">
        <v>0.60306014106443628</v>
      </c>
      <c r="IF19" s="63">
        <v>1.8203452827417934</v>
      </c>
      <c r="IG19" s="63">
        <v>0.63856267411107859</v>
      </c>
      <c r="IH19" s="63">
        <v>1.7985081983806293</v>
      </c>
      <c r="II19" s="63">
        <v>0.63153334563597652</v>
      </c>
      <c r="IJ19" s="63">
        <v>1.1633557386269358</v>
      </c>
      <c r="IK19" s="63">
        <v>1.1647359568602877</v>
      </c>
      <c r="IL19" s="63">
        <v>0.7390668029733678</v>
      </c>
      <c r="IM19" s="63">
        <v>1.1730384593022023</v>
      </c>
      <c r="IN19" s="63">
        <v>0.31872811274879354</v>
      </c>
      <c r="IO19" s="63">
        <v>1.452932906126341</v>
      </c>
      <c r="IP19" s="63">
        <v>1.5616118519509359</v>
      </c>
      <c r="IQ19" s="63">
        <v>2.1673847003367648</v>
      </c>
      <c r="IR19" s="63">
        <v>0.75289641628230874</v>
      </c>
      <c r="IS19" s="63">
        <v>1.790747366109378</v>
      </c>
      <c r="IT19" s="63">
        <v>1.3837096089825021</v>
      </c>
      <c r="IU19" s="63">
        <v>0.40983679486312369</v>
      </c>
      <c r="IV19" s="63"/>
      <c r="IW19" s="67">
        <v>0.17783794806475686</v>
      </c>
      <c r="IX19" s="67">
        <v>6.7955660076336577E-2</v>
      </c>
      <c r="IY19" s="67">
        <v>0.61627499425736465</v>
      </c>
      <c r="JA19" s="63">
        <v>0.35584018414698837</v>
      </c>
      <c r="JB19" s="63">
        <v>0.29374334924350864</v>
      </c>
      <c r="JC19" s="63">
        <v>0.27557679935540003</v>
      </c>
      <c r="JD19" s="63">
        <v>0.41272349296996941</v>
      </c>
      <c r="JE19" s="63">
        <v>0.23754360006939301</v>
      </c>
      <c r="JF19" s="63">
        <v>0.3467107486401409</v>
      </c>
      <c r="JG19" s="63">
        <v>0.35675669946794475</v>
      </c>
      <c r="JH19" s="63">
        <v>0.91588075694654603</v>
      </c>
      <c r="JI19" s="63">
        <v>0.67280387930067809</v>
      </c>
      <c r="JJ19" s="63">
        <v>0.74104141393537193</v>
      </c>
      <c r="JK19" s="63">
        <v>0.702890746577438</v>
      </c>
      <c r="JL19" s="63">
        <v>0.85444500760583175</v>
      </c>
      <c r="JM19" s="63">
        <v>0.88652599096451357</v>
      </c>
      <c r="JN19" s="63">
        <v>1.3804256096694381</v>
      </c>
      <c r="JO19" s="63">
        <v>0.8046435723096288</v>
      </c>
      <c r="JP19" s="63">
        <v>1.073869735081209</v>
      </c>
      <c r="JQ19" s="63">
        <v>0.89912941802848068</v>
      </c>
      <c r="JS19" s="69"/>
      <c r="JT19" s="69"/>
      <c r="JV19" s="73">
        <f t="shared" si="82"/>
        <v>4.1159067725123144</v>
      </c>
      <c r="JW19" s="73">
        <f t="shared" si="83"/>
        <v>9.5827390388252365</v>
      </c>
      <c r="JX19" s="73">
        <f t="shared" si="84"/>
        <v>10.061579063087636</v>
      </c>
      <c r="JY19" s="73">
        <f t="shared" si="85"/>
        <v>5.95604796508524</v>
      </c>
      <c r="JZ19" s="73">
        <f t="shared" si="86"/>
        <v>1.3395829252591263</v>
      </c>
      <c r="KA19" s="73">
        <f t="shared" si="87"/>
        <v>1.9516509419561046</v>
      </c>
      <c r="KB19" s="73">
        <f t="shared" si="88"/>
        <v>5.8910850574168077</v>
      </c>
      <c r="KC19" s="73">
        <f t="shared" si="89"/>
        <v>2.0665458709096396</v>
      </c>
      <c r="KD19" s="73">
        <f t="shared" si="90"/>
        <v>5.8204148814907093</v>
      </c>
      <c r="KE19" s="73">
        <f t="shared" si="91"/>
        <v>2.0437972350678852</v>
      </c>
      <c r="KF19" s="73">
        <f t="shared" si="92"/>
        <v>3.7649053029997921</v>
      </c>
      <c r="KG19" s="73">
        <f t="shared" si="93"/>
        <v>3.7693720286740704</v>
      </c>
      <c r="KH19" s="73">
        <f t="shared" si="94"/>
        <v>2.3918019513701223</v>
      </c>
      <c r="KI19" s="73">
        <f t="shared" si="95"/>
        <v>3.7962409686155416</v>
      </c>
      <c r="KJ19" s="73">
        <f t="shared" si="96"/>
        <v>1.0314825655300761</v>
      </c>
      <c r="KK19" s="73">
        <f t="shared" si="97"/>
        <v>4.702048239891071</v>
      </c>
      <c r="KL19" s="73">
        <f t="shared" si="98"/>
        <v>5.0537600386761676</v>
      </c>
      <c r="KM19" s="73">
        <f t="shared" si="99"/>
        <v>7.0141899687273943</v>
      </c>
      <c r="KN19" s="73">
        <f t="shared" si="100"/>
        <v>2.4365579814961449</v>
      </c>
      <c r="KO19" s="73">
        <f t="shared" si="101"/>
        <v>5.7952989194478253</v>
      </c>
      <c r="KP19" s="73">
        <f t="shared" si="102"/>
        <v>4.4780246245388415</v>
      </c>
      <c r="KQ19" s="73">
        <f t="shared" si="103"/>
        <v>1.3263326694599473</v>
      </c>
      <c r="KS19" s="66">
        <f t="shared" si="104"/>
        <v>0.57552734001539441</v>
      </c>
      <c r="KT19" s="66">
        <f t="shared" si="105"/>
        <v>0.21992123002050673</v>
      </c>
      <c r="KU19" s="66">
        <f t="shared" si="106"/>
        <v>1.9944174571435749</v>
      </c>
      <c r="KW19" s="32">
        <f t="shared" si="107"/>
        <v>1.1515863564627455</v>
      </c>
      <c r="KX19" s="32">
        <f t="shared" si="108"/>
        <v>0.95062572570714776</v>
      </c>
      <c r="KY19" s="32">
        <f t="shared" si="109"/>
        <v>0.89183430212103565</v>
      </c>
      <c r="KZ19" s="32">
        <f t="shared" si="110"/>
        <v>1.3356747345306454</v>
      </c>
      <c r="LA19" s="32">
        <f t="shared" si="111"/>
        <v>0.76874951478767961</v>
      </c>
      <c r="LB19" s="32">
        <f t="shared" si="112"/>
        <v>1.1220412577350838</v>
      </c>
      <c r="LC19" s="32">
        <f t="shared" si="113"/>
        <v>1.1545524254626043</v>
      </c>
      <c r="LD19" s="32">
        <f t="shared" si="114"/>
        <v>2.9640153946490164</v>
      </c>
      <c r="LE19" s="32">
        <f t="shared" si="115"/>
        <v>2.1773588326882787</v>
      </c>
      <c r="LF19" s="32">
        <f t="shared" si="116"/>
        <v>2.3981922781079996</v>
      </c>
      <c r="LG19" s="32">
        <f t="shared" si="117"/>
        <v>2.2747273352020647</v>
      </c>
      <c r="LH19" s="32">
        <f t="shared" si="118"/>
        <v>2.7651941993716238</v>
      </c>
      <c r="LI19" s="32">
        <f t="shared" si="119"/>
        <v>2.869016151988717</v>
      </c>
      <c r="LJ19" s="32">
        <f t="shared" si="120"/>
        <v>4.4673967950467253</v>
      </c>
      <c r="LK19" s="32">
        <f t="shared" si="121"/>
        <v>2.6040245058564038</v>
      </c>
      <c r="LL19" s="32">
        <f t="shared" si="122"/>
        <v>3.4753065860233301</v>
      </c>
      <c r="LM19" s="32">
        <f t="shared" si="123"/>
        <v>2.9098039418397432</v>
      </c>
    </row>
    <row r="20" spans="1:325" x14ac:dyDescent="0.3">
      <c r="A20" s="11" t="s">
        <v>16</v>
      </c>
      <c r="B20" s="59">
        <v>0.16800000000000001</v>
      </c>
      <c r="C20" s="3">
        <v>3</v>
      </c>
      <c r="D20" s="57">
        <f t="shared" si="0"/>
        <v>17.857142857142858</v>
      </c>
      <c r="E20">
        <v>1.46</v>
      </c>
      <c r="F20">
        <v>1.69</v>
      </c>
      <c r="G20">
        <v>1.9</v>
      </c>
      <c r="H20">
        <v>1.71</v>
      </c>
      <c r="I20">
        <v>2.09</v>
      </c>
      <c r="J20">
        <v>2.4700000000000002</v>
      </c>
      <c r="K20">
        <v>2.57</v>
      </c>
      <c r="L20">
        <v>2.09</v>
      </c>
      <c r="M20">
        <v>2.63</v>
      </c>
      <c r="N20">
        <v>2.36</v>
      </c>
      <c r="O20">
        <v>2.33</v>
      </c>
      <c r="P20">
        <v>1.96</v>
      </c>
      <c r="Q20">
        <v>1.87</v>
      </c>
      <c r="R20">
        <v>1.96</v>
      </c>
      <c r="S20">
        <v>2.31</v>
      </c>
      <c r="T20">
        <v>2.16</v>
      </c>
      <c r="U20">
        <v>2.04</v>
      </c>
      <c r="V20">
        <v>1.71</v>
      </c>
      <c r="W20">
        <v>2.02</v>
      </c>
      <c r="X20">
        <v>1.92</v>
      </c>
      <c r="Y20">
        <v>2.31</v>
      </c>
      <c r="Z20">
        <v>1.97</v>
      </c>
      <c r="AA20">
        <v>2.0299999999999998</v>
      </c>
      <c r="AB20">
        <v>2.09</v>
      </c>
      <c r="AC20">
        <v>2.06</v>
      </c>
      <c r="AD20">
        <v>1.75</v>
      </c>
      <c r="AE20">
        <v>1.82</v>
      </c>
      <c r="AF20">
        <v>2.0499999999999998</v>
      </c>
      <c r="AG20">
        <v>1.94</v>
      </c>
      <c r="AH20">
        <v>2.2400000000000002</v>
      </c>
      <c r="AI20">
        <v>2.11</v>
      </c>
      <c r="AJ20">
        <v>2.29</v>
      </c>
      <c r="AK20">
        <v>2.4300000000000002</v>
      </c>
      <c r="AL20">
        <v>2.2200000000000002</v>
      </c>
      <c r="AM20">
        <v>2.17</v>
      </c>
      <c r="AN20"/>
      <c r="AO20"/>
      <c r="AP20">
        <v>1.66</v>
      </c>
      <c r="AQ20">
        <v>1.46</v>
      </c>
      <c r="AR20">
        <v>1.37</v>
      </c>
      <c r="AS20">
        <v>1.99</v>
      </c>
      <c r="AT20">
        <v>2.23</v>
      </c>
      <c r="AU20">
        <v>1.88</v>
      </c>
      <c r="AV20">
        <v>2.16</v>
      </c>
      <c r="AW20">
        <v>2.16</v>
      </c>
      <c r="AX20">
        <v>1.82</v>
      </c>
      <c r="AY20">
        <v>1.86</v>
      </c>
      <c r="AZ20">
        <v>1.76</v>
      </c>
      <c r="BA20">
        <v>2.31</v>
      </c>
      <c r="BB20">
        <v>1.91</v>
      </c>
      <c r="BC20">
        <v>1.25</v>
      </c>
      <c r="BD20">
        <v>1.54</v>
      </c>
      <c r="BE20">
        <v>1.59</v>
      </c>
      <c r="BF20">
        <v>4.0599999999999996</v>
      </c>
      <c r="BG20">
        <v>3.98</v>
      </c>
      <c r="BH20">
        <v>2.42</v>
      </c>
      <c r="BI20">
        <v>2.58</v>
      </c>
      <c r="BJ20">
        <v>2.62</v>
      </c>
      <c r="BK20">
        <v>2.73</v>
      </c>
      <c r="BL20">
        <v>4.25</v>
      </c>
      <c r="BM20">
        <v>3.76</v>
      </c>
      <c r="BN20">
        <v>2.15</v>
      </c>
      <c r="BO20">
        <v>1.31</v>
      </c>
      <c r="BP20">
        <v>1.67</v>
      </c>
      <c r="BQ20">
        <v>2.09</v>
      </c>
      <c r="BR20">
        <v>1.58</v>
      </c>
      <c r="BS20">
        <v>2.79</v>
      </c>
      <c r="BT20">
        <v>1.92</v>
      </c>
      <c r="BU20">
        <v>2.29</v>
      </c>
      <c r="BV20"/>
      <c r="BW20">
        <v>1.66</v>
      </c>
      <c r="BX20"/>
      <c r="BY20"/>
      <c r="BZ20">
        <v>1.85</v>
      </c>
      <c r="CA20">
        <v>1.1299999999999999</v>
      </c>
      <c r="CB20">
        <v>1.34</v>
      </c>
      <c r="CC20">
        <v>1.63</v>
      </c>
      <c r="CD20">
        <v>3.99</v>
      </c>
      <c r="CE20">
        <v>1.1000000000000001</v>
      </c>
      <c r="CF20">
        <v>1.44</v>
      </c>
      <c r="CG20">
        <v>0.73</v>
      </c>
      <c r="CH20">
        <v>2.29</v>
      </c>
      <c r="CI20" s="3">
        <v>2.33</v>
      </c>
      <c r="CJ20" s="3">
        <v>2.76</v>
      </c>
      <c r="CK20" s="3">
        <v>1.05</v>
      </c>
      <c r="CL20" s="27">
        <f>E20/B20</f>
        <v>8.6904761904761898</v>
      </c>
      <c r="CM20" s="27">
        <f t="shared" si="1"/>
        <v>10.059523809523808</v>
      </c>
      <c r="CN20" s="27">
        <f t="shared" si="138"/>
        <v>11.309523809523808</v>
      </c>
      <c r="CO20" s="27">
        <f t="shared" si="139"/>
        <v>10.178571428571427</v>
      </c>
      <c r="CP20" s="27">
        <f>I20/B20</f>
        <v>12.440476190476188</v>
      </c>
      <c r="CQ20" s="27">
        <f t="shared" si="140"/>
        <v>14.702380952380953</v>
      </c>
      <c r="CR20" s="27">
        <f t="shared" si="2"/>
        <v>15.297619047619046</v>
      </c>
      <c r="CS20" s="27">
        <f t="shared" si="55"/>
        <v>15.654761904761903</v>
      </c>
      <c r="CT20" s="27">
        <f t="shared" si="3"/>
        <v>15.654761904761903</v>
      </c>
      <c r="CU20" s="27">
        <f t="shared" si="141"/>
        <v>14.047619047619046</v>
      </c>
      <c r="CV20" s="27">
        <f t="shared" si="4"/>
        <v>13.869047619047619</v>
      </c>
      <c r="CW20" s="27">
        <f t="shared" si="152"/>
        <v>11.666666666666666</v>
      </c>
      <c r="CX20" s="27">
        <f t="shared" si="142"/>
        <v>11.130952380952381</v>
      </c>
      <c r="CY20" s="27">
        <f t="shared" si="143"/>
        <v>11.666666666666666</v>
      </c>
      <c r="CZ20" s="27">
        <f t="shared" si="5"/>
        <v>13.75</v>
      </c>
      <c r="DA20" s="27">
        <f t="shared" si="6"/>
        <v>12.857142857142858</v>
      </c>
      <c r="DB20" s="27">
        <f t="shared" si="7"/>
        <v>12.142857142857142</v>
      </c>
      <c r="DC20" s="27">
        <f t="shared" si="8"/>
        <v>10.178571428571427</v>
      </c>
      <c r="DD20" s="27">
        <f t="shared" si="9"/>
        <v>12.023809523809524</v>
      </c>
      <c r="DE20" s="27">
        <f t="shared" si="10"/>
        <v>11.428571428571427</v>
      </c>
      <c r="DF20" s="27">
        <f t="shared" si="11"/>
        <v>13.75</v>
      </c>
      <c r="DG20" s="27">
        <f t="shared" si="12"/>
        <v>11.726190476190474</v>
      </c>
      <c r="DH20" s="27">
        <f t="shared" si="56"/>
        <v>12.083333333333332</v>
      </c>
      <c r="DI20" s="27">
        <f t="shared" si="13"/>
        <v>12.440476190476188</v>
      </c>
      <c r="DJ20" s="27">
        <f t="shared" si="14"/>
        <v>12.261904761904761</v>
      </c>
      <c r="DK20" s="27">
        <f t="shared" si="15"/>
        <v>10.416666666666666</v>
      </c>
      <c r="DL20" s="27">
        <f t="shared" si="16"/>
        <v>10.833333333333332</v>
      </c>
      <c r="DM20" s="27">
        <f t="shared" si="17"/>
        <v>12.202380952380951</v>
      </c>
      <c r="DN20" s="27">
        <f t="shared" si="18"/>
        <v>11.547619047619047</v>
      </c>
      <c r="DO20" s="27">
        <f t="shared" si="19"/>
        <v>13.333333333333334</v>
      </c>
      <c r="DP20" s="27">
        <f t="shared" si="20"/>
        <v>12.559523809523808</v>
      </c>
      <c r="DQ20" s="27">
        <f t="shared" si="21"/>
        <v>13.63095238095238</v>
      </c>
      <c r="DR20" s="27">
        <f t="shared" si="22"/>
        <v>14.464285714285714</v>
      </c>
      <c r="DS20" s="27">
        <f t="shared" si="23"/>
        <v>13.214285714285715</v>
      </c>
      <c r="DT20" s="27">
        <f t="shared" si="24"/>
        <v>12.916666666666666</v>
      </c>
      <c r="DU20" s="27"/>
      <c r="DV20" s="27"/>
      <c r="DW20" s="27">
        <f t="shared" si="25"/>
        <v>9.8809523809523796</v>
      </c>
      <c r="DX20" s="27">
        <f t="shared" si="57"/>
        <v>8.6904761904761898</v>
      </c>
      <c r="DY20" s="27">
        <f t="shared" si="26"/>
        <v>8.1547619047619051</v>
      </c>
      <c r="DZ20" s="27">
        <f t="shared" si="27"/>
        <v>11.845238095238095</v>
      </c>
      <c r="EA20" s="27">
        <f t="shared" si="28"/>
        <v>13.273809523809524</v>
      </c>
      <c r="EB20" s="27">
        <f t="shared" si="29"/>
        <v>11.19047619047619</v>
      </c>
      <c r="EC20" s="27">
        <f t="shared" si="30"/>
        <v>12.857142857142858</v>
      </c>
      <c r="ED20" s="27">
        <f t="shared" si="31"/>
        <v>12.857142857142858</v>
      </c>
      <c r="EE20" s="27">
        <f t="shared" si="32"/>
        <v>10.833333333333332</v>
      </c>
      <c r="EF20" s="27">
        <f t="shared" si="33"/>
        <v>11.071428571428571</v>
      </c>
      <c r="EG20" s="27">
        <f t="shared" si="34"/>
        <v>10.476190476190476</v>
      </c>
      <c r="EH20" s="27">
        <f t="shared" si="35"/>
        <v>13.75</v>
      </c>
      <c r="EI20" s="27">
        <f t="shared" si="36"/>
        <v>11.369047619047619</v>
      </c>
      <c r="EJ20" s="27">
        <f t="shared" si="37"/>
        <v>7.4404761904761898</v>
      </c>
      <c r="EK20" s="27">
        <f t="shared" si="144"/>
        <v>9.1666666666666661</v>
      </c>
      <c r="EL20" s="27">
        <f t="shared" si="38"/>
        <v>9.4642857142857135</v>
      </c>
      <c r="EM20" s="27">
        <f t="shared" si="39"/>
        <v>24.166666666666664</v>
      </c>
      <c r="EN20" s="27">
        <f t="shared" si="40"/>
        <v>23.69047619047619</v>
      </c>
      <c r="EO20" s="27">
        <f>BH20/B20</f>
        <v>14.404761904761903</v>
      </c>
      <c r="EP20" s="27">
        <f t="shared" si="41"/>
        <v>15.357142857142856</v>
      </c>
      <c r="EQ20" s="27">
        <f t="shared" si="58"/>
        <v>15.595238095238095</v>
      </c>
      <c r="ER20" s="27">
        <f t="shared" si="59"/>
        <v>16.25</v>
      </c>
      <c r="ES20" s="27">
        <f t="shared" si="60"/>
        <v>25.297619047619047</v>
      </c>
      <c r="ET20" s="27">
        <f t="shared" si="61"/>
        <v>22.38095238095238</v>
      </c>
      <c r="EU20" s="27">
        <f t="shared" si="62"/>
        <v>12.797619047619046</v>
      </c>
      <c r="EV20" s="27">
        <f t="shared" si="63"/>
        <v>7.7976190476190474</v>
      </c>
      <c r="EW20" s="27">
        <f t="shared" si="64"/>
        <v>9.9404761904761898</v>
      </c>
      <c r="EX20" s="27">
        <f t="shared" si="65"/>
        <v>12.440476190476188</v>
      </c>
      <c r="EY20" s="27">
        <f t="shared" si="66"/>
        <v>9.4047619047619051</v>
      </c>
      <c r="EZ20" s="27">
        <f t="shared" si="67"/>
        <v>16.607142857142858</v>
      </c>
      <c r="FA20" s="27">
        <f t="shared" si="68"/>
        <v>11.428571428571427</v>
      </c>
      <c r="FB20" s="27">
        <f t="shared" si="69"/>
        <v>13.63095238095238</v>
      </c>
      <c r="FC20" s="31">
        <f>BV21/B21</f>
        <v>9.8247232472324715</v>
      </c>
      <c r="FD20" s="31">
        <f t="shared" si="151"/>
        <v>9.6402214022140225</v>
      </c>
      <c r="FE20" s="31">
        <f>BX21/B21</f>
        <v>10.285977859778598</v>
      </c>
      <c r="FF20" s="31"/>
      <c r="FG20" s="31">
        <f t="shared" si="70"/>
        <v>11.011904761904761</v>
      </c>
      <c r="FH20" s="31">
        <f t="shared" si="153"/>
        <v>6.7261904761904754</v>
      </c>
      <c r="FI20" s="31">
        <f t="shared" si="154"/>
        <v>7.9761904761904763</v>
      </c>
      <c r="FJ20" s="31">
        <f t="shared" si="43"/>
        <v>9.7023809523809508</v>
      </c>
      <c r="FK20" s="31">
        <f t="shared" si="155"/>
        <v>23.75</v>
      </c>
      <c r="FL20" s="31">
        <f t="shared" si="44"/>
        <v>6.5476190476190474</v>
      </c>
      <c r="FM20" s="31">
        <f t="shared" si="45"/>
        <v>8.5714285714285712</v>
      </c>
      <c r="FN20" s="31">
        <f t="shared" si="46"/>
        <v>4.3452380952380949</v>
      </c>
      <c r="FO20" s="31">
        <f t="shared" si="47"/>
        <v>13.63095238095238</v>
      </c>
      <c r="FP20" s="31">
        <f t="shared" si="48"/>
        <v>13.869047619047619</v>
      </c>
      <c r="FQ20" s="31">
        <f t="shared" si="49"/>
        <v>16.428571428571427</v>
      </c>
      <c r="FR20" s="31">
        <f t="shared" si="50"/>
        <v>6.25</v>
      </c>
      <c r="FS20" s="3">
        <v>1.02</v>
      </c>
      <c r="FT20" s="29">
        <f>FS20/B20</f>
        <v>6.0714285714285712</v>
      </c>
      <c r="FU20" s="34">
        <v>3.7999999999999999E-2</v>
      </c>
      <c r="FV20" s="34">
        <v>0.04</v>
      </c>
      <c r="FW20" s="34">
        <v>0.04</v>
      </c>
      <c r="FX20" s="34">
        <v>8.4000000000000005E-2</v>
      </c>
      <c r="FY20" s="34">
        <v>7.3999999999999996E-2</v>
      </c>
      <c r="FZ20" s="34">
        <v>8.8999999999999996E-2</v>
      </c>
      <c r="GA20" s="34">
        <v>8.1000000000000003E-2</v>
      </c>
      <c r="GB20" s="34">
        <v>3.4000000000000002E-2</v>
      </c>
      <c r="GC20" s="34">
        <v>3.3000000000000002E-2</v>
      </c>
      <c r="GD20" s="34">
        <v>2.9000000000000001E-2</v>
      </c>
      <c r="GE20" s="34">
        <v>5.2999999999999999E-2</v>
      </c>
      <c r="GF20" s="3">
        <v>2.1</v>
      </c>
      <c r="GG20" s="3">
        <v>2.2999999999999998</v>
      </c>
      <c r="GH20" s="23" t="s">
        <v>16</v>
      </c>
      <c r="GI20" s="23">
        <v>2.7</v>
      </c>
      <c r="GJ20" s="23">
        <v>0.13</v>
      </c>
      <c r="GK20" s="23">
        <v>0.13</v>
      </c>
      <c r="GL20" s="36">
        <v>0.16800000000000001</v>
      </c>
      <c r="GM20" s="37">
        <f t="shared" si="146"/>
        <v>0.22619047619047616</v>
      </c>
      <c r="GN20" s="37">
        <f t="shared" si="124"/>
        <v>0.23809523809523808</v>
      </c>
      <c r="GO20" s="37">
        <f t="shared" si="125"/>
        <v>0.23809523809523808</v>
      </c>
      <c r="GP20" s="37">
        <f t="shared" si="126"/>
        <v>0.5</v>
      </c>
      <c r="GQ20" s="37">
        <f t="shared" si="127"/>
        <v>0.44047619047619041</v>
      </c>
      <c r="GR20" s="37">
        <f t="shared" si="128"/>
        <v>0.52976190476190466</v>
      </c>
      <c r="GS20" s="37">
        <f t="shared" si="129"/>
        <v>0.48214285714285715</v>
      </c>
      <c r="GT20" s="37">
        <f t="shared" si="130"/>
        <v>0.20238095238095238</v>
      </c>
      <c r="GU20" s="37">
        <f t="shared" si="131"/>
        <v>0.19642857142857142</v>
      </c>
      <c r="GV20" s="37">
        <f t="shared" si="132"/>
        <v>0.17261904761904762</v>
      </c>
      <c r="GW20" s="37">
        <f t="shared" si="133"/>
        <v>0.31547619047619047</v>
      </c>
      <c r="GX20" s="37">
        <f>GF20/GL20</f>
        <v>12.5</v>
      </c>
      <c r="GY20" s="37">
        <f t="shared" si="156"/>
        <v>13.690476190476188</v>
      </c>
      <c r="GZ20" s="37">
        <f t="shared" si="134"/>
        <v>16.071428571428573</v>
      </c>
      <c r="HA20" s="50">
        <f t="shared" ref="HA20:HA25" si="157">GI20/B20</f>
        <v>16.071428571428573</v>
      </c>
      <c r="HB20" s="50">
        <f t="shared" si="135"/>
        <v>0.77380952380952384</v>
      </c>
      <c r="HC20" s="50">
        <f t="shared" si="136"/>
        <v>0.77380952380952384</v>
      </c>
      <c r="HD20" s="23" t="s">
        <v>16</v>
      </c>
      <c r="HE20" s="36">
        <v>0.16800000000000001</v>
      </c>
      <c r="HG20" s="3">
        <f t="shared" si="75"/>
        <v>10.059523809523808</v>
      </c>
      <c r="HH20" s="3">
        <f t="shared" si="76"/>
        <v>10.059523809523808</v>
      </c>
      <c r="HI20" s="3">
        <f t="shared" si="77"/>
        <v>11.309523809523808</v>
      </c>
      <c r="HJ20" s="3">
        <f t="shared" si="77"/>
        <v>0.56999999999999995</v>
      </c>
      <c r="HK20" s="3">
        <f t="shared" si="77"/>
        <v>0.11703999999999999</v>
      </c>
      <c r="HL20" s="3">
        <f t="shared" si="77"/>
        <v>1.6917808219178083</v>
      </c>
      <c r="HM20" s="3">
        <f t="shared" si="77"/>
        <v>1.5207100591715976</v>
      </c>
      <c r="HN20" s="3">
        <f t="shared" si="77"/>
        <v>1.0999999999999999</v>
      </c>
      <c r="HO20" s="3">
        <f t="shared" si="77"/>
        <v>1.5380116959064327</v>
      </c>
      <c r="HP20" s="3">
        <f t="shared" si="77"/>
        <v>1.1291866028708135</v>
      </c>
      <c r="HQ20" s="3">
        <f t="shared" si="77"/>
        <v>0.94331983805668007</v>
      </c>
      <c r="HR20" s="3">
        <f t="shared" si="78"/>
        <v>0.76264591439688723</v>
      </c>
      <c r="HS20" s="3">
        <f t="shared" si="79"/>
        <v>0.89473684210526327</v>
      </c>
      <c r="HT20" s="3">
        <f t="shared" si="80"/>
        <v>0.74524714828897343</v>
      </c>
      <c r="HU20" s="3">
        <f t="shared" si="81"/>
        <v>0.97881355932203395</v>
      </c>
      <c r="HV20" s="36">
        <v>0.16800000000000001</v>
      </c>
      <c r="HW20" s="56"/>
      <c r="HX20" s="23" t="s">
        <v>16</v>
      </c>
      <c r="HZ20" s="63">
        <v>0.52828660654945303</v>
      </c>
      <c r="IA20" s="63">
        <v>0.96958169728070698</v>
      </c>
      <c r="IB20" s="63">
        <v>0.93893842705438768</v>
      </c>
      <c r="IC20" s="63">
        <v>0.73390302289520148</v>
      </c>
      <c r="ID20" s="63">
        <v>0.21279947098323185</v>
      </c>
      <c r="IE20" s="63">
        <v>0.31864252923070679</v>
      </c>
      <c r="IF20" s="63">
        <v>0.57353847765067356</v>
      </c>
      <c r="IG20" s="63">
        <v>0.31095267758374556</v>
      </c>
      <c r="IH20" s="63">
        <v>0.6134248588543566</v>
      </c>
      <c r="II20" s="63">
        <v>0.32232872330740303</v>
      </c>
      <c r="IJ20" s="63">
        <v>0.51262115422371313</v>
      </c>
      <c r="IK20" s="63">
        <v>0.52121812623488917</v>
      </c>
      <c r="IL20" s="63">
        <v>0.26709971595403015</v>
      </c>
      <c r="IM20" s="63">
        <v>0.47000739599922942</v>
      </c>
      <c r="IN20" s="63">
        <v>0.13647425168225291</v>
      </c>
      <c r="IO20" s="63">
        <v>0.4986959092267722</v>
      </c>
      <c r="IP20" s="63">
        <v>0.54476981033937066</v>
      </c>
      <c r="IQ20" s="63">
        <v>0.69906084806866664</v>
      </c>
      <c r="IR20" s="63">
        <v>0.33522420693555777</v>
      </c>
      <c r="IS20" s="63">
        <v>0.77660820242052397</v>
      </c>
      <c r="IT20" s="63">
        <v>0.49755444134210913</v>
      </c>
      <c r="IU20" s="63">
        <v>0.22458332700323477</v>
      </c>
      <c r="IV20" s="63"/>
      <c r="IW20" s="67">
        <v>0.11044476397993094</v>
      </c>
      <c r="IX20" s="67">
        <v>5.1857014854233344E-2</v>
      </c>
      <c r="IY20" s="67">
        <v>0.22385562645662932</v>
      </c>
      <c r="JA20" s="63">
        <v>0.26126434280593896</v>
      </c>
      <c r="JB20" s="63">
        <v>0.27035002231434097</v>
      </c>
      <c r="JC20" s="63">
        <v>0.25657708194559042</v>
      </c>
      <c r="JD20" s="63">
        <v>0.2846895169955535</v>
      </c>
      <c r="JE20" s="63">
        <v>0.21096156334400853</v>
      </c>
      <c r="JF20" s="63">
        <v>0.32703453292521184</v>
      </c>
      <c r="JG20" s="63">
        <v>0.31146123068842707</v>
      </c>
      <c r="JH20" s="63">
        <v>0.69336148924098795</v>
      </c>
      <c r="JI20" s="63">
        <v>0.49478631549234198</v>
      </c>
      <c r="JJ20" s="63">
        <v>0.56195029288097009</v>
      </c>
      <c r="JK20" s="63">
        <v>0.53821723877790029</v>
      </c>
      <c r="JL20" s="63">
        <v>0.53911322116526139</v>
      </c>
      <c r="JM20" s="63">
        <v>0.627096343983785</v>
      </c>
      <c r="JN20" s="63">
        <v>0.91949996731851102</v>
      </c>
      <c r="JO20" s="63">
        <v>0.6064299336384954</v>
      </c>
      <c r="JP20" s="63">
        <v>0.7972097941898324</v>
      </c>
      <c r="JQ20" s="63">
        <v>0.63242222147359306</v>
      </c>
      <c r="JS20" s="69"/>
      <c r="JT20" s="69"/>
      <c r="JV20" s="73">
        <f t="shared" si="82"/>
        <v>3.1445631342229343</v>
      </c>
      <c r="JW20" s="73">
        <f t="shared" si="83"/>
        <v>5.7713196266708744</v>
      </c>
      <c r="JX20" s="73">
        <f t="shared" si="84"/>
        <v>5.5889192086570691</v>
      </c>
      <c r="JY20" s="73">
        <f t="shared" si="85"/>
        <v>4.3684703743761988</v>
      </c>
      <c r="JZ20" s="73">
        <f t="shared" si="86"/>
        <v>1.2666635177573324</v>
      </c>
      <c r="KA20" s="73">
        <f t="shared" si="87"/>
        <v>1.8966817216113498</v>
      </c>
      <c r="KB20" s="73">
        <f t="shared" si="88"/>
        <v>3.4139195098254378</v>
      </c>
      <c r="KC20" s="73">
        <f t="shared" si="89"/>
        <v>1.8509087951413425</v>
      </c>
      <c r="KD20" s="73">
        <f t="shared" si="90"/>
        <v>3.6513384455616462</v>
      </c>
      <c r="KE20" s="73">
        <f t="shared" si="91"/>
        <v>1.9186233530202561</v>
      </c>
      <c r="KF20" s="73">
        <f t="shared" si="92"/>
        <v>3.0513163941887682</v>
      </c>
      <c r="KG20" s="73">
        <f t="shared" si="93"/>
        <v>3.1024888466362448</v>
      </c>
      <c r="KH20" s="73">
        <f t="shared" si="94"/>
        <v>1.5898792616311317</v>
      </c>
      <c r="KI20" s="73">
        <f t="shared" si="95"/>
        <v>2.7976630714239845</v>
      </c>
      <c r="KJ20" s="73">
        <f t="shared" si="96"/>
        <v>0.81234673620388631</v>
      </c>
      <c r="KK20" s="73">
        <f t="shared" si="97"/>
        <v>2.9684280311117393</v>
      </c>
      <c r="KL20" s="73">
        <f t="shared" si="98"/>
        <v>3.2426774424962539</v>
      </c>
      <c r="KM20" s="73">
        <f t="shared" si="99"/>
        <v>4.1610764765992059</v>
      </c>
      <c r="KN20" s="73">
        <f t="shared" si="100"/>
        <v>1.9953821841402246</v>
      </c>
      <c r="KO20" s="73">
        <f t="shared" si="101"/>
        <v>4.6226678715507372</v>
      </c>
      <c r="KP20" s="73">
        <f t="shared" si="102"/>
        <v>2.9616335794173159</v>
      </c>
      <c r="KQ20" s="73">
        <f t="shared" si="103"/>
        <v>1.3368055178763973</v>
      </c>
      <c r="KS20" s="66">
        <f t="shared" si="104"/>
        <v>0.65740930940435083</v>
      </c>
      <c r="KT20" s="66">
        <f t="shared" si="105"/>
        <v>0.30867270746567466</v>
      </c>
      <c r="KU20" s="66">
        <f t="shared" si="106"/>
        <v>1.3324739670037458</v>
      </c>
      <c r="KW20" s="32">
        <f t="shared" si="107"/>
        <v>1.5551448976543985</v>
      </c>
      <c r="KX20" s="32">
        <f t="shared" si="108"/>
        <v>1.6092263232996484</v>
      </c>
      <c r="KY20" s="32">
        <f t="shared" si="109"/>
        <v>1.5272445353904192</v>
      </c>
      <c r="KZ20" s="32">
        <f t="shared" si="110"/>
        <v>1.694580458306866</v>
      </c>
      <c r="LA20" s="32">
        <f t="shared" si="111"/>
        <v>1.255723591333384</v>
      </c>
      <c r="LB20" s="32">
        <f t="shared" si="112"/>
        <v>1.9466341245548322</v>
      </c>
      <c r="LC20" s="32">
        <f t="shared" si="113"/>
        <v>1.8539358969549229</v>
      </c>
      <c r="LD20" s="32">
        <f t="shared" si="114"/>
        <v>4.1271517216725471</v>
      </c>
      <c r="LE20" s="32">
        <f t="shared" si="115"/>
        <v>2.9451566398353686</v>
      </c>
      <c r="LF20" s="32">
        <f t="shared" si="116"/>
        <v>3.3449422195295835</v>
      </c>
      <c r="LG20" s="32">
        <f t="shared" si="117"/>
        <v>3.2036740403446444</v>
      </c>
      <c r="LH20" s="32">
        <f t="shared" si="118"/>
        <v>3.2090072688408413</v>
      </c>
      <c r="LI20" s="32">
        <f t="shared" si="119"/>
        <v>3.7327163332368154</v>
      </c>
      <c r="LJ20" s="32">
        <f t="shared" si="120"/>
        <v>5.473214091181613</v>
      </c>
      <c r="LK20" s="32">
        <f t="shared" si="121"/>
        <v>3.609701985943425</v>
      </c>
      <c r="LL20" s="32">
        <f t="shared" si="122"/>
        <v>4.7452963939870969</v>
      </c>
      <c r="LM20" s="32">
        <f t="shared" si="123"/>
        <v>3.7644179849618631</v>
      </c>
    </row>
    <row r="21" spans="1:325" x14ac:dyDescent="0.3">
      <c r="A21" s="11" t="s">
        <v>87</v>
      </c>
      <c r="B21" s="59">
        <v>0.21679999999999999</v>
      </c>
      <c r="C21" s="3">
        <v>2.87</v>
      </c>
      <c r="D21" s="57">
        <f t="shared" si="0"/>
        <v>13.238007380073801</v>
      </c>
      <c r="E21">
        <v>1.56</v>
      </c>
      <c r="F21">
        <v>1.68</v>
      </c>
      <c r="G21">
        <v>1.99</v>
      </c>
      <c r="H21">
        <v>1.87</v>
      </c>
      <c r="I21">
        <v>2.37</v>
      </c>
      <c r="J21">
        <v>3</v>
      </c>
      <c r="K21">
        <v>2.98</v>
      </c>
      <c r="L21">
        <v>2.4500000000000002</v>
      </c>
      <c r="M21">
        <v>2.91</v>
      </c>
      <c r="N21">
        <v>2.62</v>
      </c>
      <c r="O21">
        <v>2.67</v>
      </c>
      <c r="P21">
        <v>2.23</v>
      </c>
      <c r="Q21">
        <v>2.11</v>
      </c>
      <c r="R21">
        <v>2.27</v>
      </c>
      <c r="S21">
        <v>2.1800000000000002</v>
      </c>
      <c r="T21">
        <v>2.1800000000000002</v>
      </c>
      <c r="U21">
        <v>2.35</v>
      </c>
      <c r="V21">
        <v>1.86</v>
      </c>
      <c r="W21">
        <v>2.2799999999999998</v>
      </c>
      <c r="X21">
        <v>2.11</v>
      </c>
      <c r="Y21">
        <v>2.2400000000000002</v>
      </c>
      <c r="Z21">
        <v>2.0499999999999998</v>
      </c>
      <c r="AA21">
        <v>2.16</v>
      </c>
      <c r="AB21">
        <v>2.11</v>
      </c>
      <c r="AC21">
        <v>2</v>
      </c>
      <c r="AD21">
        <v>1.71</v>
      </c>
      <c r="AE21">
        <v>1.69</v>
      </c>
      <c r="AF21">
        <v>2.17</v>
      </c>
      <c r="AG21">
        <v>1.86</v>
      </c>
      <c r="AH21">
        <v>2.2599999999999998</v>
      </c>
      <c r="AI21">
        <v>2.1800000000000002</v>
      </c>
      <c r="AJ21">
        <v>2.27</v>
      </c>
      <c r="AK21">
        <v>2.2799999999999998</v>
      </c>
      <c r="AL21">
        <v>2.13</v>
      </c>
      <c r="AM21">
        <v>2.11</v>
      </c>
      <c r="AN21">
        <v>2.38</v>
      </c>
      <c r="AO21">
        <v>1.73</v>
      </c>
      <c r="AP21">
        <v>1.55</v>
      </c>
      <c r="AQ21">
        <v>1.53</v>
      </c>
      <c r="AR21">
        <v>1.1599999999999999</v>
      </c>
      <c r="AS21">
        <v>1.77</v>
      </c>
      <c r="AT21">
        <v>2.15</v>
      </c>
      <c r="AU21">
        <v>1.73</v>
      </c>
      <c r="AV21">
        <v>2.0499999999999998</v>
      </c>
      <c r="AW21">
        <v>2.08</v>
      </c>
      <c r="AX21">
        <v>1.73</v>
      </c>
      <c r="AY21">
        <v>1.76</v>
      </c>
      <c r="AZ21">
        <v>1.67</v>
      </c>
      <c r="BA21">
        <v>2.08</v>
      </c>
      <c r="BB21">
        <v>1.75</v>
      </c>
      <c r="BC21">
        <v>1.1000000000000001</v>
      </c>
      <c r="BD21">
        <v>1.37</v>
      </c>
      <c r="BE21">
        <v>1.38</v>
      </c>
      <c r="BF21">
        <v>2.5299999999999998</v>
      </c>
      <c r="BG21">
        <v>2.62</v>
      </c>
      <c r="BH21">
        <v>3.02</v>
      </c>
      <c r="BI21">
        <v>3.11</v>
      </c>
      <c r="BJ21">
        <v>3.09</v>
      </c>
      <c r="BK21">
        <v>3.13</v>
      </c>
      <c r="BL21">
        <v>2.5499999999999998</v>
      </c>
      <c r="BM21">
        <v>3.18</v>
      </c>
      <c r="BN21">
        <v>1.89</v>
      </c>
      <c r="BO21">
        <v>1.39</v>
      </c>
      <c r="BP21">
        <v>1.71</v>
      </c>
      <c r="BQ21">
        <v>2.4700000000000002</v>
      </c>
      <c r="BR21">
        <v>1.64</v>
      </c>
      <c r="BS21">
        <v>3.52</v>
      </c>
      <c r="BT21">
        <v>2.0699999999999998</v>
      </c>
      <c r="BU21">
        <v>2.94</v>
      </c>
      <c r="BV21">
        <v>2.13</v>
      </c>
      <c r="BW21">
        <v>2.09</v>
      </c>
      <c r="BX21">
        <v>2.23</v>
      </c>
      <c r="BY21">
        <v>1.1100000000000001</v>
      </c>
      <c r="BZ21">
        <v>1.42</v>
      </c>
      <c r="CA21">
        <v>1.1299999999999999</v>
      </c>
      <c r="CB21">
        <v>1.47</v>
      </c>
      <c r="CC21">
        <v>1.4</v>
      </c>
      <c r="CD21">
        <v>1.92</v>
      </c>
      <c r="CE21">
        <v>1.32</v>
      </c>
      <c r="CF21">
        <v>1.1399999999999999</v>
      </c>
      <c r="CG21">
        <v>0.52</v>
      </c>
      <c r="CH21">
        <v>2.5299999999999998</v>
      </c>
      <c r="CI21" s="3">
        <v>2.17</v>
      </c>
      <c r="CJ21" s="3">
        <v>2.2799999999999998</v>
      </c>
      <c r="CK21" s="3">
        <v>1.01</v>
      </c>
      <c r="CL21" s="27">
        <f>E21/B21</f>
        <v>7.1955719557195579</v>
      </c>
      <c r="CM21" s="27">
        <f t="shared" si="1"/>
        <v>7.7490774907749076</v>
      </c>
      <c r="CN21" s="27">
        <f t="shared" si="138"/>
        <v>9.1789667896678964</v>
      </c>
      <c r="CO21" s="27">
        <f t="shared" si="139"/>
        <v>8.6254612546125475</v>
      </c>
      <c r="CP21" s="27">
        <f>I21/B21</f>
        <v>10.931734317343174</v>
      </c>
      <c r="CQ21" s="27">
        <f t="shared" si="140"/>
        <v>13.837638376383765</v>
      </c>
      <c r="CR21" s="27">
        <f t="shared" si="2"/>
        <v>13.745387453874539</v>
      </c>
      <c r="CS21" s="27">
        <f t="shared" si="55"/>
        <v>13.422509225092252</v>
      </c>
      <c r="CT21" s="27">
        <f t="shared" si="3"/>
        <v>13.422509225092252</v>
      </c>
      <c r="CU21" s="27">
        <f t="shared" si="141"/>
        <v>12.084870848708489</v>
      </c>
      <c r="CV21" s="27">
        <f t="shared" si="4"/>
        <v>12.315498154981549</v>
      </c>
      <c r="CW21" s="27">
        <f t="shared" si="152"/>
        <v>10.285977859778598</v>
      </c>
      <c r="CX21" s="27">
        <f t="shared" si="142"/>
        <v>9.732472324723247</v>
      </c>
      <c r="CY21" s="27">
        <f t="shared" si="143"/>
        <v>10.470479704797048</v>
      </c>
      <c r="CZ21" s="27">
        <f t="shared" si="5"/>
        <v>10.055350553505535</v>
      </c>
      <c r="DA21" s="27">
        <f t="shared" si="6"/>
        <v>10.055350553505535</v>
      </c>
      <c r="DB21" s="27">
        <f t="shared" si="7"/>
        <v>10.83948339483395</v>
      </c>
      <c r="DC21" s="27">
        <f t="shared" si="8"/>
        <v>8.5793357933579344</v>
      </c>
      <c r="DD21" s="27">
        <f t="shared" si="9"/>
        <v>10.51660516605166</v>
      </c>
      <c r="DE21" s="27">
        <f t="shared" si="10"/>
        <v>9.732472324723247</v>
      </c>
      <c r="DF21" s="27">
        <f t="shared" si="11"/>
        <v>10.332103321033212</v>
      </c>
      <c r="DG21" s="27">
        <f t="shared" si="12"/>
        <v>9.4557195571955717</v>
      </c>
      <c r="DH21" s="27">
        <f t="shared" si="56"/>
        <v>9.9630996309963109</v>
      </c>
      <c r="DI21" s="27">
        <f t="shared" si="13"/>
        <v>9.732472324723247</v>
      </c>
      <c r="DJ21" s="27">
        <f t="shared" si="14"/>
        <v>9.2250922509225095</v>
      </c>
      <c r="DK21" s="27">
        <f t="shared" si="15"/>
        <v>7.8874538745387452</v>
      </c>
      <c r="DL21" s="27">
        <f t="shared" si="16"/>
        <v>7.7952029520295207</v>
      </c>
      <c r="DM21" s="27">
        <f t="shared" si="17"/>
        <v>10.009225092250922</v>
      </c>
      <c r="DN21" s="27">
        <f t="shared" si="18"/>
        <v>8.5793357933579344</v>
      </c>
      <c r="DO21" s="27">
        <f t="shared" si="19"/>
        <v>10.424354243542435</v>
      </c>
      <c r="DP21" s="27">
        <f t="shared" si="20"/>
        <v>10.055350553505535</v>
      </c>
      <c r="DQ21" s="27">
        <f t="shared" si="21"/>
        <v>10.470479704797048</v>
      </c>
      <c r="DR21" s="27">
        <f t="shared" si="22"/>
        <v>10.51660516605166</v>
      </c>
      <c r="DS21" s="27">
        <f t="shared" si="23"/>
        <v>9.8247232472324715</v>
      </c>
      <c r="DT21" s="27">
        <f t="shared" si="24"/>
        <v>9.732472324723247</v>
      </c>
      <c r="DU21" s="27">
        <f>AN21/B21</f>
        <v>10.977859778597786</v>
      </c>
      <c r="DV21" s="27">
        <f>AO21/B21</f>
        <v>7.9797047970479706</v>
      </c>
      <c r="DW21" s="27">
        <f t="shared" si="25"/>
        <v>7.1494464944649447</v>
      </c>
      <c r="DX21" s="27">
        <f t="shared" si="57"/>
        <v>7.0571955719557202</v>
      </c>
      <c r="DY21" s="27">
        <f t="shared" si="26"/>
        <v>5.3505535055350553</v>
      </c>
      <c r="DZ21" s="27">
        <f t="shared" si="27"/>
        <v>8.1642066420664214</v>
      </c>
      <c r="EA21" s="27">
        <f t="shared" si="28"/>
        <v>9.9169741697416978</v>
      </c>
      <c r="EB21" s="27">
        <f t="shared" si="29"/>
        <v>7.9797047970479706</v>
      </c>
      <c r="EC21" s="27">
        <f t="shared" si="30"/>
        <v>9.4557195571955717</v>
      </c>
      <c r="ED21" s="27">
        <f t="shared" si="31"/>
        <v>9.5940959409594111</v>
      </c>
      <c r="EE21" s="27">
        <f t="shared" si="32"/>
        <v>7.9797047970479706</v>
      </c>
      <c r="EF21" s="27">
        <f t="shared" si="33"/>
        <v>8.1180811808118083</v>
      </c>
      <c r="EG21" s="27">
        <f t="shared" si="34"/>
        <v>7.7029520295202953</v>
      </c>
      <c r="EH21" s="27">
        <f t="shared" si="35"/>
        <v>9.5940959409594111</v>
      </c>
      <c r="EI21" s="27">
        <f t="shared" si="36"/>
        <v>8.0719557195571952</v>
      </c>
      <c r="EJ21" s="27">
        <f t="shared" si="37"/>
        <v>5.0738007380073809</v>
      </c>
      <c r="EK21" s="27">
        <f t="shared" si="144"/>
        <v>6.3191881918819197</v>
      </c>
      <c r="EL21" s="27">
        <f t="shared" si="38"/>
        <v>6.3653136531365311</v>
      </c>
      <c r="EM21" s="27">
        <f t="shared" si="39"/>
        <v>11.669741697416974</v>
      </c>
      <c r="EN21" s="27">
        <f t="shared" si="40"/>
        <v>12.084870848708489</v>
      </c>
      <c r="EO21" s="27">
        <f>BH21/B21</f>
        <v>13.92988929889299</v>
      </c>
      <c r="EP21" s="27">
        <f t="shared" si="41"/>
        <v>14.345018450184503</v>
      </c>
      <c r="EQ21" s="27">
        <f t="shared" si="58"/>
        <v>14.252767527675276</v>
      </c>
      <c r="ER21" s="27">
        <f t="shared" si="59"/>
        <v>14.437269372693727</v>
      </c>
      <c r="ES21" s="27">
        <f t="shared" si="60"/>
        <v>11.761992619926199</v>
      </c>
      <c r="ET21" s="27">
        <f t="shared" si="61"/>
        <v>14.667896678966791</v>
      </c>
      <c r="EU21" s="27">
        <f t="shared" si="62"/>
        <v>8.7177121771217703</v>
      </c>
      <c r="EV21" s="27">
        <f t="shared" si="63"/>
        <v>6.4114391143911433</v>
      </c>
      <c r="EW21" s="27">
        <f t="shared" si="64"/>
        <v>7.8874538745387452</v>
      </c>
      <c r="EX21" s="27">
        <f t="shared" si="65"/>
        <v>11.392988929889301</v>
      </c>
      <c r="EY21" s="27">
        <f t="shared" si="66"/>
        <v>7.5645756457564577</v>
      </c>
      <c r="EZ21" s="27">
        <f t="shared" si="67"/>
        <v>16.236162361623617</v>
      </c>
      <c r="FA21" s="27">
        <f t="shared" si="68"/>
        <v>9.5479704797047962</v>
      </c>
      <c r="FB21" s="27">
        <f t="shared" si="69"/>
        <v>13.560885608856088</v>
      </c>
      <c r="FC21" s="31"/>
      <c r="FD21" s="31">
        <f t="shared" si="151"/>
        <v>8.3333333333333339</v>
      </c>
      <c r="FE21" s="31"/>
      <c r="FF21" s="31">
        <f>BY21/B21</f>
        <v>5.1199261992619931</v>
      </c>
      <c r="FG21" s="31">
        <f t="shared" si="70"/>
        <v>6.5498154981549819</v>
      </c>
      <c r="FH21" s="31">
        <f t="shared" si="153"/>
        <v>5.2121771217712176</v>
      </c>
      <c r="FI21" s="31">
        <f t="shared" si="154"/>
        <v>6.780442804428044</v>
      </c>
      <c r="FJ21" s="31">
        <f t="shared" si="43"/>
        <v>6.4575645756457565</v>
      </c>
      <c r="FK21" s="31">
        <f t="shared" si="155"/>
        <v>8.8560885608856097</v>
      </c>
      <c r="FL21" s="31">
        <f t="shared" si="44"/>
        <v>6.0885608856088567</v>
      </c>
      <c r="FM21" s="31">
        <f t="shared" si="45"/>
        <v>5.2583025830258299</v>
      </c>
      <c r="FN21" s="31">
        <f t="shared" si="46"/>
        <v>2.3985239852398528</v>
      </c>
      <c r="FO21" s="31">
        <f t="shared" si="47"/>
        <v>11.669741697416974</v>
      </c>
      <c r="FP21" s="31">
        <f t="shared" si="48"/>
        <v>10.009225092250922</v>
      </c>
      <c r="FQ21" s="31">
        <f t="shared" si="49"/>
        <v>10.51660516605166</v>
      </c>
      <c r="FR21" s="31">
        <f t="shared" si="50"/>
        <v>4.658671586715867</v>
      </c>
      <c r="FS21" s="3">
        <v>7600</v>
      </c>
      <c r="FT21" s="29"/>
      <c r="FU21" s="34">
        <v>0.03</v>
      </c>
      <c r="FV21" s="34">
        <v>0.03</v>
      </c>
      <c r="FW21" s="34">
        <v>0.08</v>
      </c>
      <c r="FX21" s="34">
        <v>0.08</v>
      </c>
      <c r="FY21" s="34">
        <v>0.06</v>
      </c>
      <c r="FZ21" s="34">
        <v>0.04</v>
      </c>
      <c r="GA21" s="34">
        <v>0.04</v>
      </c>
      <c r="GB21" s="34">
        <v>0.03</v>
      </c>
      <c r="GC21" s="34">
        <v>0.03</v>
      </c>
      <c r="GD21" s="34">
        <v>0.03</v>
      </c>
      <c r="GE21" s="34">
        <v>0.05</v>
      </c>
      <c r="GH21" s="24" t="s">
        <v>87</v>
      </c>
      <c r="GI21" s="24">
        <v>2.46</v>
      </c>
      <c r="GJ21" s="24">
        <v>0.12</v>
      </c>
      <c r="GK21" s="24">
        <v>0.11</v>
      </c>
      <c r="GL21" s="36">
        <v>0.21679999999999999</v>
      </c>
      <c r="GM21" s="37">
        <f>FU21/GL21</f>
        <v>0.13837638376383765</v>
      </c>
      <c r="GN21" s="37">
        <f t="shared" si="124"/>
        <v>0.13837638376383765</v>
      </c>
      <c r="GO21" s="37">
        <f t="shared" si="125"/>
        <v>0.36900369003690037</v>
      </c>
      <c r="GP21" s="37">
        <f t="shared" si="126"/>
        <v>0.36900369003690037</v>
      </c>
      <c r="GQ21" s="37">
        <f t="shared" si="127"/>
        <v>0.2767527675276753</v>
      </c>
      <c r="GR21" s="37">
        <f t="shared" si="128"/>
        <v>0.18450184501845018</v>
      </c>
      <c r="GS21" s="37">
        <f t="shared" si="129"/>
        <v>0.18450184501845018</v>
      </c>
      <c r="GT21" s="37">
        <f t="shared" si="130"/>
        <v>0.13837638376383765</v>
      </c>
      <c r="GU21" s="37">
        <f t="shared" si="131"/>
        <v>0.13837638376383765</v>
      </c>
      <c r="GV21" s="37">
        <f t="shared" si="132"/>
        <v>0.13837638376383765</v>
      </c>
      <c r="GW21" s="37">
        <f t="shared" si="133"/>
        <v>0.23062730627306274</v>
      </c>
      <c r="GX21" s="37"/>
      <c r="GY21" s="37">
        <f t="shared" si="156"/>
        <v>0</v>
      </c>
      <c r="GZ21" s="37">
        <f t="shared" si="134"/>
        <v>11.346863468634687</v>
      </c>
      <c r="HA21" s="50">
        <f t="shared" si="157"/>
        <v>11.346863468634687</v>
      </c>
      <c r="HB21" s="50">
        <f t="shared" si="135"/>
        <v>0.55350553505535061</v>
      </c>
      <c r="HC21" s="50">
        <f t="shared" si="136"/>
        <v>0.50738007380073802</v>
      </c>
      <c r="HD21" s="24" t="s">
        <v>87</v>
      </c>
      <c r="HE21" s="36">
        <v>0.21679999999999999</v>
      </c>
      <c r="HG21" s="3">
        <f t="shared" si="75"/>
        <v>7.7490774907749076</v>
      </c>
      <c r="HH21" s="3">
        <f t="shared" si="76"/>
        <v>7.7490774907749076</v>
      </c>
      <c r="HI21" s="3">
        <f t="shared" si="77"/>
        <v>9.1789667896678964</v>
      </c>
      <c r="HJ21" s="3">
        <f t="shared" si="77"/>
        <v>0.65156794425087106</v>
      </c>
      <c r="HK21" s="3">
        <f t="shared" si="77"/>
        <v>0.17902996515679442</v>
      </c>
      <c r="HL21" s="3">
        <f t="shared" si="77"/>
        <v>1.9230769230769229</v>
      </c>
      <c r="HM21" s="3">
        <f t="shared" si="77"/>
        <v>1.7738095238095239</v>
      </c>
      <c r="HN21" s="3">
        <f t="shared" si="77"/>
        <v>1.2311557788944725</v>
      </c>
      <c r="HO21" s="3">
        <f t="shared" si="77"/>
        <v>1.5561497326203209</v>
      </c>
      <c r="HP21" s="3">
        <f t="shared" si="77"/>
        <v>1.1054852320675106</v>
      </c>
      <c r="HQ21" s="3">
        <f t="shared" si="77"/>
        <v>0.89</v>
      </c>
      <c r="HR21" s="3">
        <f t="shared" si="78"/>
        <v>0.74832214765100669</v>
      </c>
      <c r="HS21" s="3">
        <f t="shared" si="79"/>
        <v>0.86122448979591826</v>
      </c>
      <c r="HT21" s="3">
        <f t="shared" si="80"/>
        <v>0.78006872852233677</v>
      </c>
      <c r="HU21" s="3">
        <f t="shared" si="81"/>
        <v>0.83206106870229013</v>
      </c>
      <c r="HV21" s="36">
        <v>0.21679999999999999</v>
      </c>
      <c r="HW21" s="56"/>
      <c r="HX21" s="24" t="s">
        <v>87</v>
      </c>
      <c r="HZ21" s="63">
        <v>0.8093645036133118</v>
      </c>
      <c r="IA21" s="63">
        <v>1.1569614724994888</v>
      </c>
      <c r="IB21" s="63">
        <v>1.2988381798534099</v>
      </c>
      <c r="IC21" s="63">
        <v>0.89058316126204995</v>
      </c>
      <c r="ID21" s="63">
        <v>0.38164936864387966</v>
      </c>
      <c r="IE21" s="63">
        <v>0.51930408736001954</v>
      </c>
      <c r="IF21" s="63">
        <v>0.71808429952041819</v>
      </c>
      <c r="IG21" s="63">
        <v>0.51864035817944421</v>
      </c>
      <c r="IH21" s="63">
        <v>0.75674135793523178</v>
      </c>
      <c r="II21" s="63">
        <v>0.53943059075494304</v>
      </c>
      <c r="IJ21" s="63">
        <v>0.53875844061770861</v>
      </c>
      <c r="IK21" s="63">
        <v>0.56373248643456364</v>
      </c>
      <c r="IL21" s="63">
        <v>0.44915043402175348</v>
      </c>
      <c r="IM21" s="63">
        <v>0.70751194160983621</v>
      </c>
      <c r="IN21" s="63">
        <v>0.26122378247926586</v>
      </c>
      <c r="IO21" s="63">
        <v>0.62148966791925719</v>
      </c>
      <c r="IP21" s="63">
        <v>0.65948499099670366</v>
      </c>
      <c r="IQ21" s="63">
        <v>0.92065127633780341</v>
      </c>
      <c r="IR21" s="63">
        <v>0.51803670093900078</v>
      </c>
      <c r="IS21" s="63">
        <v>1.0166577114111219</v>
      </c>
      <c r="IT21" s="63">
        <v>0.69152037483600104</v>
      </c>
      <c r="IU21" s="63">
        <v>0.45019924092401842</v>
      </c>
      <c r="IV21" s="63"/>
      <c r="IW21" s="67">
        <v>0.13745880074915218</v>
      </c>
      <c r="IX21" s="67">
        <v>6.7655300372191404E-2</v>
      </c>
      <c r="IY21" s="67">
        <v>0.3914373439358263</v>
      </c>
      <c r="JA21" s="63">
        <v>0.32750695730797585</v>
      </c>
      <c r="JB21" s="63">
        <v>0.29449380412183185</v>
      </c>
      <c r="JC21" s="63">
        <v>0.32253964950139363</v>
      </c>
      <c r="JD21" s="63">
        <v>0.3463912817903444</v>
      </c>
      <c r="JE21" s="63"/>
      <c r="JF21" s="63">
        <v>0.39266389970972299</v>
      </c>
      <c r="JG21" s="63">
        <v>0.36587060338148125</v>
      </c>
      <c r="JH21" s="63">
        <v>0.63883224751889955</v>
      </c>
      <c r="JI21" s="63">
        <v>0.6108939218374223</v>
      </c>
      <c r="JJ21" s="63">
        <v>0.62299379928694343</v>
      </c>
      <c r="JK21" s="63">
        <v>0.66145233269144565</v>
      </c>
      <c r="JL21" s="63">
        <v>0.61655166929564331</v>
      </c>
      <c r="JM21" s="63">
        <v>0.6715698727882905</v>
      </c>
      <c r="JN21" s="63">
        <v>0.83386480329435297</v>
      </c>
      <c r="JO21" s="63">
        <v>0.66606644464345943</v>
      </c>
      <c r="JP21" s="63">
        <v>0.71190600358411515</v>
      </c>
      <c r="JQ21" s="63">
        <v>0.73</v>
      </c>
      <c r="JS21" s="69"/>
      <c r="JT21" s="69"/>
      <c r="JV21" s="73">
        <f t="shared" si="82"/>
        <v>3.7332311052274529</v>
      </c>
      <c r="JW21" s="73">
        <f t="shared" si="83"/>
        <v>5.3365381572854647</v>
      </c>
      <c r="JX21" s="73">
        <f t="shared" si="84"/>
        <v>5.9909510140839943</v>
      </c>
      <c r="JY21" s="73">
        <f t="shared" si="85"/>
        <v>4.1078559098803042</v>
      </c>
      <c r="JZ21" s="73">
        <f t="shared" si="86"/>
        <v>1.7603753166230611</v>
      </c>
      <c r="KA21" s="73">
        <f t="shared" si="87"/>
        <v>2.395314056088651</v>
      </c>
      <c r="KB21" s="73">
        <f t="shared" si="88"/>
        <v>3.3121969535074642</v>
      </c>
      <c r="KC21" s="73">
        <f t="shared" si="89"/>
        <v>2.3922525746284329</v>
      </c>
      <c r="KD21" s="73">
        <f t="shared" si="90"/>
        <v>3.4905044185204419</v>
      </c>
      <c r="KE21" s="73">
        <f t="shared" si="91"/>
        <v>2.4881484813419883</v>
      </c>
      <c r="KF21" s="73">
        <f t="shared" si="92"/>
        <v>2.4850481578307595</v>
      </c>
      <c r="KG21" s="73">
        <f t="shared" si="93"/>
        <v>2.600242096100386</v>
      </c>
      <c r="KH21" s="73">
        <f t="shared" si="94"/>
        <v>2.0717270941962798</v>
      </c>
      <c r="KI21" s="73">
        <f t="shared" si="95"/>
        <v>3.2634314649900196</v>
      </c>
      <c r="KJ21" s="73">
        <f t="shared" si="96"/>
        <v>1.2049067457530713</v>
      </c>
      <c r="KK21" s="73">
        <f t="shared" si="97"/>
        <v>2.8666497597751714</v>
      </c>
      <c r="KL21" s="73">
        <f t="shared" si="98"/>
        <v>3.0419049400216958</v>
      </c>
      <c r="KM21" s="73">
        <f t="shared" si="99"/>
        <v>4.2465464775728945</v>
      </c>
      <c r="KN21" s="73">
        <f t="shared" si="100"/>
        <v>2.389468177762919</v>
      </c>
      <c r="KO21" s="73">
        <f t="shared" si="101"/>
        <v>4.6893805876896772</v>
      </c>
      <c r="KP21" s="73">
        <f t="shared" si="102"/>
        <v>3.1896696256273112</v>
      </c>
      <c r="KQ21" s="73">
        <f t="shared" si="103"/>
        <v>2.076564764409679</v>
      </c>
      <c r="KS21" s="66">
        <f t="shared" si="104"/>
        <v>0.63403505880605249</v>
      </c>
      <c r="KT21" s="66">
        <f t="shared" si="105"/>
        <v>0.31206319359866885</v>
      </c>
      <c r="KU21" s="66">
        <f t="shared" si="106"/>
        <v>1.8055228041320401</v>
      </c>
      <c r="KW21" s="32">
        <f t="shared" si="107"/>
        <v>1.5106409469925086</v>
      </c>
      <c r="KX21" s="32">
        <f t="shared" si="108"/>
        <v>1.3583662551745013</v>
      </c>
      <c r="KY21" s="32">
        <f t="shared" si="109"/>
        <v>1.4877290106152843</v>
      </c>
      <c r="KZ21" s="32">
        <f t="shared" si="110"/>
        <v>1.5977457647156108</v>
      </c>
      <c r="LA21" s="32"/>
      <c r="LB21" s="32">
        <f t="shared" si="112"/>
        <v>1.8111803492145895</v>
      </c>
      <c r="LC21" s="32">
        <f t="shared" si="113"/>
        <v>1.6875950340474228</v>
      </c>
      <c r="LD21" s="32">
        <f t="shared" si="114"/>
        <v>2.9466432081130054</v>
      </c>
      <c r="LE21" s="32">
        <f t="shared" si="115"/>
        <v>2.8177763922390326</v>
      </c>
      <c r="LF21" s="32">
        <f t="shared" si="116"/>
        <v>2.8735876350873775</v>
      </c>
      <c r="LG21" s="32">
        <f t="shared" si="117"/>
        <v>3.0509793943332366</v>
      </c>
      <c r="LH21" s="32">
        <f t="shared" si="118"/>
        <v>2.8438730133562884</v>
      </c>
      <c r="LI21" s="32">
        <f t="shared" si="119"/>
        <v>3.097647014706137</v>
      </c>
      <c r="LJ21" s="32">
        <f t="shared" si="120"/>
        <v>3.8462398675938791</v>
      </c>
      <c r="LK21" s="32">
        <f t="shared" si="121"/>
        <v>3.0722621985399421</v>
      </c>
      <c r="LL21" s="32">
        <f t="shared" si="122"/>
        <v>3.2836992785245167</v>
      </c>
      <c r="LM21" s="32">
        <f t="shared" si="123"/>
        <v>3.3671586715867159</v>
      </c>
    </row>
    <row r="22" spans="1:325" x14ac:dyDescent="0.3">
      <c r="A22" s="11" t="s">
        <v>17</v>
      </c>
      <c r="B22" s="59">
        <v>0.108</v>
      </c>
      <c r="C22" s="3">
        <v>1.05</v>
      </c>
      <c r="D22" s="57">
        <f t="shared" si="0"/>
        <v>9.7222222222222232</v>
      </c>
      <c r="E22"/>
      <c r="F22">
        <v>0.98</v>
      </c>
      <c r="G22">
        <v>0.82</v>
      </c>
      <c r="H22"/>
      <c r="I22"/>
      <c r="J22">
        <v>1.3</v>
      </c>
      <c r="K22">
        <v>1.58</v>
      </c>
      <c r="L22"/>
      <c r="M22">
        <v>1.45</v>
      </c>
      <c r="N22">
        <v>0.92</v>
      </c>
      <c r="O22">
        <v>1.22</v>
      </c>
      <c r="P22">
        <v>0.96</v>
      </c>
      <c r="Q22">
        <v>0.57999999999999996</v>
      </c>
      <c r="R22">
        <v>0.93</v>
      </c>
      <c r="S22">
        <v>1.31</v>
      </c>
      <c r="T22">
        <v>1.19</v>
      </c>
      <c r="U22">
        <v>1.01</v>
      </c>
      <c r="V22">
        <v>0.88</v>
      </c>
      <c r="W22">
        <v>1.02</v>
      </c>
      <c r="X22">
        <v>0.98</v>
      </c>
      <c r="Y22">
        <v>1.25</v>
      </c>
      <c r="Z22">
        <v>1.05</v>
      </c>
      <c r="AA22">
        <v>1.0900000000000001</v>
      </c>
      <c r="AB22">
        <v>1.1200000000000001</v>
      </c>
      <c r="AC22">
        <v>1.2</v>
      </c>
      <c r="AD22">
        <v>1.01</v>
      </c>
      <c r="AE22">
        <v>1.03</v>
      </c>
      <c r="AF22">
        <v>1.1100000000000001</v>
      </c>
      <c r="AG22">
        <v>1.1100000000000001</v>
      </c>
      <c r="AH22">
        <v>1.21</v>
      </c>
      <c r="AI22">
        <v>1.17</v>
      </c>
      <c r="AJ22">
        <v>1.22</v>
      </c>
      <c r="AK22">
        <v>1.46</v>
      </c>
      <c r="AL22">
        <v>1.25</v>
      </c>
      <c r="AM22">
        <v>1.25</v>
      </c>
      <c r="AN22"/>
      <c r="AO22"/>
      <c r="AP22">
        <v>0.93</v>
      </c>
      <c r="AQ22">
        <v>0.78</v>
      </c>
      <c r="AR22">
        <v>0.69</v>
      </c>
      <c r="AS22">
        <v>1.08</v>
      </c>
      <c r="AT22">
        <v>1.27</v>
      </c>
      <c r="AU22">
        <v>1.05</v>
      </c>
      <c r="AV22">
        <v>1.23</v>
      </c>
      <c r="AW22">
        <v>1.22</v>
      </c>
      <c r="AX22">
        <v>1</v>
      </c>
      <c r="AY22">
        <v>1.01</v>
      </c>
      <c r="AZ22">
        <v>0.97</v>
      </c>
      <c r="BA22">
        <v>1.27</v>
      </c>
      <c r="BB22">
        <v>1.06</v>
      </c>
      <c r="BC22">
        <v>0.71</v>
      </c>
      <c r="BD22">
        <v>0.86</v>
      </c>
      <c r="BE22">
        <v>0.87</v>
      </c>
      <c r="BF22">
        <v>2</v>
      </c>
      <c r="BG22">
        <v>2.0099999999999998</v>
      </c>
      <c r="BH22"/>
      <c r="BI22">
        <v>1.36</v>
      </c>
      <c r="BJ22">
        <v>1.21</v>
      </c>
      <c r="BK22">
        <v>1.3</v>
      </c>
      <c r="BL22">
        <v>1.41</v>
      </c>
      <c r="BM22">
        <v>1.38</v>
      </c>
      <c r="BN22">
        <v>1.22</v>
      </c>
      <c r="BO22">
        <v>0.65</v>
      </c>
      <c r="BP22">
        <v>0.76</v>
      </c>
      <c r="BQ22">
        <v>1.07</v>
      </c>
      <c r="BR22">
        <v>0.8</v>
      </c>
      <c r="BS22">
        <v>1.45</v>
      </c>
      <c r="BT22">
        <v>1.1100000000000001</v>
      </c>
      <c r="BU22">
        <v>1.06</v>
      </c>
      <c r="BV22"/>
      <c r="BW22">
        <v>0.9</v>
      </c>
      <c r="BX22"/>
      <c r="BY22"/>
      <c r="BZ22">
        <v>0.86</v>
      </c>
      <c r="CA22">
        <v>0.43</v>
      </c>
      <c r="CB22"/>
      <c r="CC22"/>
      <c r="CD22">
        <v>1.7</v>
      </c>
      <c r="CE22"/>
      <c r="CF22"/>
      <c r="CG22"/>
      <c r="CH22">
        <v>1.31</v>
      </c>
      <c r="CI22" s="3">
        <v>1.1000000000000001</v>
      </c>
      <c r="CL22" s="27"/>
      <c r="CM22" s="27">
        <f t="shared" si="1"/>
        <v>9.0740740740740744</v>
      </c>
      <c r="CN22" s="27">
        <f t="shared" si="138"/>
        <v>7.5925925925925926</v>
      </c>
      <c r="CO22" s="27"/>
      <c r="CP22" s="27"/>
      <c r="CQ22" s="27">
        <f t="shared" si="140"/>
        <v>12.037037037037038</v>
      </c>
      <c r="CR22" s="27">
        <f t="shared" si="2"/>
        <v>14.62962962962963</v>
      </c>
      <c r="CS22" s="27">
        <f t="shared" si="55"/>
        <v>13.425925925925926</v>
      </c>
      <c r="CT22" s="27">
        <f t="shared" si="3"/>
        <v>13.425925925925926</v>
      </c>
      <c r="CU22" s="27">
        <f t="shared" si="141"/>
        <v>8.518518518518519</v>
      </c>
      <c r="CV22" s="27">
        <f t="shared" si="4"/>
        <v>11.296296296296296</v>
      </c>
      <c r="CW22" s="27">
        <f t="shared" si="152"/>
        <v>8.8888888888888893</v>
      </c>
      <c r="CX22" s="27">
        <f t="shared" si="142"/>
        <v>5.3703703703703702</v>
      </c>
      <c r="CY22" s="27">
        <f t="shared" si="143"/>
        <v>8.6111111111111125</v>
      </c>
      <c r="CZ22" s="27">
        <f t="shared" si="5"/>
        <v>12.12962962962963</v>
      </c>
      <c r="DA22" s="27">
        <f t="shared" si="6"/>
        <v>11.018518518518517</v>
      </c>
      <c r="DB22" s="27">
        <f t="shared" si="7"/>
        <v>9.3518518518518512</v>
      </c>
      <c r="DC22" s="27">
        <f t="shared" si="8"/>
        <v>8.1481481481481488</v>
      </c>
      <c r="DD22" s="27">
        <f t="shared" si="9"/>
        <v>9.4444444444444446</v>
      </c>
      <c r="DE22" s="27">
        <f t="shared" si="10"/>
        <v>9.0740740740740744</v>
      </c>
      <c r="DF22" s="27">
        <f t="shared" si="11"/>
        <v>11.574074074074074</v>
      </c>
      <c r="DG22" s="27">
        <f t="shared" si="12"/>
        <v>9.7222222222222232</v>
      </c>
      <c r="DH22" s="27">
        <f t="shared" si="56"/>
        <v>10.092592592592593</v>
      </c>
      <c r="DI22" s="27">
        <f t="shared" si="13"/>
        <v>10.370370370370372</v>
      </c>
      <c r="DJ22" s="27">
        <f t="shared" si="14"/>
        <v>11.111111111111111</v>
      </c>
      <c r="DK22" s="27">
        <f t="shared" si="15"/>
        <v>9.3518518518518512</v>
      </c>
      <c r="DL22" s="27">
        <f t="shared" si="16"/>
        <v>9.5370370370370381</v>
      </c>
      <c r="DM22" s="27">
        <f t="shared" si="17"/>
        <v>10.277777777777779</v>
      </c>
      <c r="DN22" s="27">
        <f t="shared" si="18"/>
        <v>10.277777777777779</v>
      </c>
      <c r="DO22" s="27">
        <f t="shared" si="19"/>
        <v>11.203703703703704</v>
      </c>
      <c r="DP22" s="27">
        <f t="shared" si="20"/>
        <v>10.833333333333332</v>
      </c>
      <c r="DQ22" s="27">
        <f t="shared" si="21"/>
        <v>11.296296296296296</v>
      </c>
      <c r="DR22" s="27">
        <f t="shared" si="22"/>
        <v>13.518518518518519</v>
      </c>
      <c r="DS22" s="27">
        <f t="shared" si="23"/>
        <v>11.574074074074074</v>
      </c>
      <c r="DT22" s="27">
        <f t="shared" si="24"/>
        <v>11.574074074074074</v>
      </c>
      <c r="DU22" s="27"/>
      <c r="DV22" s="27"/>
      <c r="DW22" s="27">
        <f t="shared" si="25"/>
        <v>8.6111111111111125</v>
      </c>
      <c r="DX22" s="27">
        <f t="shared" si="57"/>
        <v>7.2222222222222223</v>
      </c>
      <c r="DY22" s="27">
        <f t="shared" si="26"/>
        <v>6.3888888888888884</v>
      </c>
      <c r="DZ22" s="27">
        <f t="shared" si="27"/>
        <v>10</v>
      </c>
      <c r="EA22" s="27">
        <f t="shared" si="28"/>
        <v>11.75925925925926</v>
      </c>
      <c r="EB22" s="27">
        <f t="shared" si="29"/>
        <v>9.7222222222222232</v>
      </c>
      <c r="EC22" s="27">
        <f t="shared" si="30"/>
        <v>11.388888888888889</v>
      </c>
      <c r="ED22" s="27">
        <f t="shared" si="31"/>
        <v>11.296296296296296</v>
      </c>
      <c r="EE22" s="27">
        <f t="shared" si="32"/>
        <v>9.2592592592592595</v>
      </c>
      <c r="EF22" s="27">
        <f t="shared" si="33"/>
        <v>9.3518518518518512</v>
      </c>
      <c r="EG22" s="27">
        <f t="shared" si="34"/>
        <v>8.981481481481481</v>
      </c>
      <c r="EH22" s="27">
        <f t="shared" si="35"/>
        <v>11.75925925925926</v>
      </c>
      <c r="EI22" s="27">
        <f t="shared" si="36"/>
        <v>9.8148148148148149</v>
      </c>
      <c r="EJ22" s="27">
        <f t="shared" si="37"/>
        <v>6.5740740740740735</v>
      </c>
      <c r="EK22" s="27">
        <f t="shared" si="144"/>
        <v>7.9629629629629628</v>
      </c>
      <c r="EL22" s="27">
        <f t="shared" si="38"/>
        <v>8.0555555555555554</v>
      </c>
      <c r="EM22" s="27">
        <f t="shared" si="39"/>
        <v>18.518518518518519</v>
      </c>
      <c r="EN22" s="27">
        <f t="shared" si="40"/>
        <v>18.611111111111111</v>
      </c>
      <c r="EO22" s="27"/>
      <c r="EP22" s="27">
        <f t="shared" si="41"/>
        <v>12.592592592592593</v>
      </c>
      <c r="EQ22" s="27">
        <f t="shared" si="58"/>
        <v>11.203703703703704</v>
      </c>
      <c r="ER22" s="27">
        <f t="shared" si="59"/>
        <v>12.037037037037038</v>
      </c>
      <c r="ES22" s="27">
        <f t="shared" si="60"/>
        <v>13.055555555555555</v>
      </c>
      <c r="ET22" s="27">
        <f t="shared" si="61"/>
        <v>12.777777777777777</v>
      </c>
      <c r="EU22" s="27">
        <f t="shared" si="62"/>
        <v>11.296296296296296</v>
      </c>
      <c r="EV22" s="27">
        <f t="shared" si="63"/>
        <v>6.018518518518519</v>
      </c>
      <c r="EW22" s="27">
        <f t="shared" si="64"/>
        <v>7.0370370370370372</v>
      </c>
      <c r="EX22" s="27">
        <f t="shared" si="65"/>
        <v>9.9074074074074083</v>
      </c>
      <c r="EY22" s="27">
        <f t="shared" si="66"/>
        <v>7.4074074074074083</v>
      </c>
      <c r="EZ22" s="27">
        <f t="shared" si="67"/>
        <v>13.425925925925926</v>
      </c>
      <c r="FA22" s="27">
        <f t="shared" si="68"/>
        <v>10.277777777777779</v>
      </c>
      <c r="FB22" s="27">
        <f t="shared" si="69"/>
        <v>9.8148148148148149</v>
      </c>
      <c r="FC22" s="31">
        <f>BV23/B23</f>
        <v>5.4945054945054945</v>
      </c>
      <c r="FD22" s="31"/>
      <c r="FE22" s="31">
        <f>BX23/B23</f>
        <v>5.2747252747252746</v>
      </c>
      <c r="FF22" s="31"/>
      <c r="FG22" s="31">
        <f t="shared" si="70"/>
        <v>7.9629629629629628</v>
      </c>
      <c r="FH22" s="31">
        <f t="shared" si="153"/>
        <v>3.9814814814814814</v>
      </c>
      <c r="FI22" s="31"/>
      <c r="FJ22" s="31">
        <f t="shared" si="43"/>
        <v>0</v>
      </c>
      <c r="FK22" s="31">
        <f t="shared" si="155"/>
        <v>15.74074074074074</v>
      </c>
      <c r="FL22" s="31">
        <f t="shared" si="44"/>
        <v>0</v>
      </c>
      <c r="FM22" s="31">
        <f t="shared" si="45"/>
        <v>0</v>
      </c>
      <c r="FN22" s="31">
        <f t="shared" si="46"/>
        <v>0</v>
      </c>
      <c r="FO22" s="31">
        <f t="shared" si="47"/>
        <v>12.12962962962963</v>
      </c>
      <c r="FP22" s="31">
        <f t="shared" si="48"/>
        <v>10.185185185185187</v>
      </c>
      <c r="FQ22" s="31">
        <f t="shared" si="49"/>
        <v>0</v>
      </c>
      <c r="FR22" s="31">
        <f t="shared" si="50"/>
        <v>0</v>
      </c>
      <c r="FS22" s="3">
        <v>0.67</v>
      </c>
      <c r="FT22" s="29">
        <f>FS22/B22</f>
        <v>6.2037037037037042</v>
      </c>
      <c r="FU22" s="34">
        <v>2.4E-2</v>
      </c>
      <c r="FV22" s="34">
        <v>2.7E-2</v>
      </c>
      <c r="FW22" s="34">
        <v>2.9000000000000001E-2</v>
      </c>
      <c r="FX22" s="34">
        <v>5.6000000000000001E-2</v>
      </c>
      <c r="FY22" s="34">
        <v>5.0999999999999997E-2</v>
      </c>
      <c r="FZ22" s="34">
        <v>6.2E-2</v>
      </c>
      <c r="GA22" s="34">
        <v>5.5E-2</v>
      </c>
      <c r="GB22" s="34">
        <v>2.1000000000000001E-2</v>
      </c>
      <c r="GC22" s="34">
        <v>1.9E-2</v>
      </c>
      <c r="GD22" s="34">
        <v>1.6E-2</v>
      </c>
      <c r="GE22" s="34">
        <v>2.5000000000000001E-2</v>
      </c>
      <c r="GF22" s="3">
        <v>0.8</v>
      </c>
      <c r="GG22" s="3">
        <v>0.8</v>
      </c>
      <c r="GH22" s="23" t="s">
        <v>17</v>
      </c>
      <c r="GI22" s="23">
        <v>0.5</v>
      </c>
      <c r="GJ22" s="23">
        <v>0.05</v>
      </c>
      <c r="GK22" s="23">
        <v>0.05</v>
      </c>
      <c r="GL22" s="36">
        <v>0.108</v>
      </c>
      <c r="GM22" s="37">
        <f t="shared" si="146"/>
        <v>0.22222222222222224</v>
      </c>
      <c r="GN22" s="37">
        <f t="shared" si="124"/>
        <v>0.25</v>
      </c>
      <c r="GO22" s="37">
        <f t="shared" si="125"/>
        <v>0.26851851851851855</v>
      </c>
      <c r="GP22" s="37">
        <f t="shared" si="126"/>
        <v>0.51851851851851849</v>
      </c>
      <c r="GQ22" s="37">
        <f t="shared" si="127"/>
        <v>0.47222222222222221</v>
      </c>
      <c r="GR22" s="37">
        <f t="shared" si="128"/>
        <v>0.57407407407407407</v>
      </c>
      <c r="GS22" s="37">
        <f t="shared" si="129"/>
        <v>0.5092592592592593</v>
      </c>
      <c r="GT22" s="37">
        <f t="shared" si="130"/>
        <v>0.19444444444444445</v>
      </c>
      <c r="GU22" s="37">
        <f t="shared" si="131"/>
        <v>0.17592592592592593</v>
      </c>
      <c r="GV22" s="37">
        <f t="shared" si="132"/>
        <v>0.14814814814814814</v>
      </c>
      <c r="GW22" s="37">
        <f t="shared" si="133"/>
        <v>0.23148148148148151</v>
      </c>
      <c r="GX22" s="37">
        <f>GF22/GL22</f>
        <v>7.4074074074074083</v>
      </c>
      <c r="GY22" s="37">
        <f t="shared" si="156"/>
        <v>7.4074074074074083</v>
      </c>
      <c r="GZ22" s="37">
        <f t="shared" si="134"/>
        <v>4.6296296296296298</v>
      </c>
      <c r="HA22" s="50">
        <f t="shared" si="157"/>
        <v>4.6296296296296298</v>
      </c>
      <c r="HB22" s="50">
        <f t="shared" si="135"/>
        <v>0.46296296296296302</v>
      </c>
      <c r="HC22" s="50">
        <f t="shared" si="136"/>
        <v>0.46296296296296302</v>
      </c>
      <c r="HD22" s="23" t="s">
        <v>17</v>
      </c>
      <c r="HE22" s="36">
        <v>0.108</v>
      </c>
      <c r="HG22" s="3">
        <f t="shared" si="75"/>
        <v>9.0740740740740744</v>
      </c>
      <c r="HH22" s="3">
        <f t="shared" si="76"/>
        <v>9.0740740740740744</v>
      </c>
      <c r="HI22" s="3">
        <f t="shared" si="77"/>
        <v>7.5925925925925926</v>
      </c>
      <c r="HJ22" s="3">
        <f t="shared" si="77"/>
        <v>0</v>
      </c>
      <c r="HK22" s="3">
        <f t="shared" si="77"/>
        <v>0</v>
      </c>
      <c r="HM22" s="3">
        <f t="shared" si="77"/>
        <v>1.6122448979591837</v>
      </c>
      <c r="HN22" s="3">
        <f t="shared" si="77"/>
        <v>0</v>
      </c>
      <c r="HQ22" s="3">
        <f t="shared" si="77"/>
        <v>0.93846153846153846</v>
      </c>
      <c r="HR22" s="3">
        <f t="shared" si="78"/>
        <v>0.60759493670886067</v>
      </c>
      <c r="HT22" s="3">
        <f t="shared" si="80"/>
        <v>0.64137931034482765</v>
      </c>
      <c r="HU22" s="3">
        <f t="shared" si="81"/>
        <v>1.423913043478261</v>
      </c>
      <c r="HV22" s="36">
        <v>0.108</v>
      </c>
      <c r="HW22" s="56"/>
      <c r="HX22" s="23" t="s">
        <v>17</v>
      </c>
      <c r="HZ22" s="63">
        <v>0.35402129295220858</v>
      </c>
      <c r="IA22" s="63">
        <v>0.74009426482075591</v>
      </c>
      <c r="IB22" s="63">
        <v>0.80379670443434015</v>
      </c>
      <c r="IC22" s="63">
        <v>0.52707867309770107</v>
      </c>
      <c r="ID22" s="63">
        <v>0.18779626368655153</v>
      </c>
      <c r="IE22" s="63">
        <v>0.25938660003049907</v>
      </c>
      <c r="IF22" s="63">
        <v>0.43687930123683388</v>
      </c>
      <c r="IG22" s="63">
        <v>0.26926150026539086</v>
      </c>
      <c r="IH22" s="63">
        <v>0.44450197396492236</v>
      </c>
      <c r="II22" s="63">
        <v>0.24027749647826843</v>
      </c>
      <c r="IJ22" s="63">
        <v>0.30583845722023678</v>
      </c>
      <c r="IK22" s="63">
        <v>0.31817605564764151</v>
      </c>
      <c r="IL22" s="63">
        <v>0.19511484018730443</v>
      </c>
      <c r="IM22" s="63">
        <v>0.35782503058107801</v>
      </c>
      <c r="IN22" s="63">
        <v>0.10919079224579528</v>
      </c>
      <c r="IO22" s="63">
        <v>0.35088035324834466</v>
      </c>
      <c r="IP22" s="63">
        <v>0.39376954517325152</v>
      </c>
      <c r="IQ22" s="63">
        <v>0.51087429483165336</v>
      </c>
      <c r="IR22" s="63">
        <v>0.24205142355219458</v>
      </c>
      <c r="IS22" s="63">
        <v>0.53136521020737404</v>
      </c>
      <c r="IT22" s="63">
        <v>0.34521043677833763</v>
      </c>
      <c r="IU22" s="63">
        <v>0.18796531050057336</v>
      </c>
      <c r="IV22" s="63"/>
      <c r="IW22" s="67">
        <v>5.458189579409245E-2</v>
      </c>
      <c r="IX22" s="67">
        <v>2.3410467140680163E-2</v>
      </c>
      <c r="IY22" s="67">
        <v>0.1672656674814218</v>
      </c>
      <c r="JA22" s="63">
        <v>0.14570007376264479</v>
      </c>
      <c r="JB22" s="63">
        <v>0.13734438387727338</v>
      </c>
      <c r="JC22" s="63">
        <v>0.12606163202117734</v>
      </c>
      <c r="JD22" s="63">
        <v>0.14087284274739045</v>
      </c>
      <c r="JE22" s="63">
        <v>0.10959241930327504</v>
      </c>
      <c r="JF22" s="63">
        <v>0.16591993057636265</v>
      </c>
      <c r="JG22" s="63">
        <v>0.13864338074149576</v>
      </c>
      <c r="JH22" s="63">
        <v>0.34219446995956249</v>
      </c>
      <c r="JI22" s="63">
        <v>0.23545660221200695</v>
      </c>
      <c r="JJ22" s="63">
        <v>0.29126768235533546</v>
      </c>
      <c r="JK22" s="63">
        <v>0.25665103095739999</v>
      </c>
      <c r="JL22" s="63">
        <v>0.25870104343697864</v>
      </c>
      <c r="JM22" s="63">
        <v>0.32612259243046632</v>
      </c>
      <c r="JN22" s="63">
        <v>0.42783995084349891</v>
      </c>
      <c r="JO22" s="63">
        <v>0.29954602892953802</v>
      </c>
      <c r="JP22" s="63">
        <v>0.37782432387874404</v>
      </c>
      <c r="JQ22" s="63">
        <v>0.30801467611790256</v>
      </c>
      <c r="JS22" s="69"/>
      <c r="JT22" s="69"/>
      <c r="JV22" s="73">
        <f t="shared" si="82"/>
        <v>3.2779749347426721</v>
      </c>
      <c r="JW22" s="73">
        <f t="shared" si="83"/>
        <v>6.8527246742662582</v>
      </c>
      <c r="JX22" s="73">
        <f t="shared" si="84"/>
        <v>7.442562078095742</v>
      </c>
      <c r="JY22" s="73">
        <f t="shared" si="85"/>
        <v>4.8803580842379732</v>
      </c>
      <c r="JZ22" s="73">
        <f t="shared" si="86"/>
        <v>1.7388542933939957</v>
      </c>
      <c r="KA22" s="73">
        <f t="shared" si="87"/>
        <v>2.4017277780601765</v>
      </c>
      <c r="KB22" s="73">
        <f t="shared" si="88"/>
        <v>4.0451787151558696</v>
      </c>
      <c r="KC22" s="73">
        <f t="shared" si="89"/>
        <v>2.4931620394943597</v>
      </c>
      <c r="KD22" s="73">
        <f t="shared" si="90"/>
        <v>4.1157590181937254</v>
      </c>
      <c r="KE22" s="73">
        <f t="shared" si="91"/>
        <v>2.2247916340580409</v>
      </c>
      <c r="KF22" s="73">
        <f t="shared" si="92"/>
        <v>2.8318375668540443</v>
      </c>
      <c r="KG22" s="73">
        <f t="shared" si="93"/>
        <v>2.946074589330014</v>
      </c>
      <c r="KH22" s="73">
        <f t="shared" si="94"/>
        <v>1.8066188906231893</v>
      </c>
      <c r="KI22" s="73">
        <f t="shared" si="95"/>
        <v>3.3131947276025744</v>
      </c>
      <c r="KJ22" s="73">
        <f t="shared" si="96"/>
        <v>1.0110258541277342</v>
      </c>
      <c r="KK22" s="73">
        <f t="shared" si="97"/>
        <v>3.2488921597068949</v>
      </c>
      <c r="KL22" s="73">
        <f t="shared" si="98"/>
        <v>3.6460143071597364</v>
      </c>
      <c r="KM22" s="73">
        <f t="shared" si="99"/>
        <v>4.730317544737531</v>
      </c>
      <c r="KN22" s="73">
        <f t="shared" si="100"/>
        <v>2.2412168847425424</v>
      </c>
      <c r="KO22" s="73">
        <f t="shared" si="101"/>
        <v>4.9200482426608705</v>
      </c>
      <c r="KP22" s="73">
        <f t="shared" si="102"/>
        <v>3.1963929331327559</v>
      </c>
      <c r="KQ22" s="73">
        <f t="shared" si="103"/>
        <v>1.7404195416719757</v>
      </c>
      <c r="KS22" s="66">
        <f t="shared" si="104"/>
        <v>0.50538792401937449</v>
      </c>
      <c r="KT22" s="66">
        <f t="shared" si="105"/>
        <v>0.21676358463592743</v>
      </c>
      <c r="KU22" s="66">
        <f t="shared" si="106"/>
        <v>1.5487561803835352</v>
      </c>
      <c r="KW22" s="32">
        <f t="shared" si="107"/>
        <v>1.3490747570615258</v>
      </c>
      <c r="KX22" s="32">
        <f t="shared" si="108"/>
        <v>1.2717072581229016</v>
      </c>
      <c r="KY22" s="32">
        <f t="shared" si="109"/>
        <v>1.1672373335294199</v>
      </c>
      <c r="KZ22" s="32">
        <f t="shared" si="110"/>
        <v>1.3043781735869486</v>
      </c>
      <c r="LA22" s="32">
        <f t="shared" si="111"/>
        <v>1.0147446231784727</v>
      </c>
      <c r="LB22" s="32">
        <f t="shared" si="112"/>
        <v>1.5362956534848393</v>
      </c>
      <c r="LC22" s="32">
        <f t="shared" si="113"/>
        <v>1.2837350068657016</v>
      </c>
      <c r="LD22" s="32">
        <f t="shared" si="114"/>
        <v>3.1684673144403934</v>
      </c>
      <c r="LE22" s="32">
        <f t="shared" si="115"/>
        <v>2.1801537241852498</v>
      </c>
      <c r="LF22" s="32">
        <f t="shared" si="116"/>
        <v>2.6969229847716245</v>
      </c>
      <c r="LG22" s="32">
        <f t="shared" si="117"/>
        <v>2.3763984347907408</v>
      </c>
      <c r="LH22" s="32">
        <f t="shared" si="118"/>
        <v>2.3953800318238763</v>
      </c>
      <c r="LI22" s="32">
        <f t="shared" si="119"/>
        <v>3.0196536336154289</v>
      </c>
      <c r="LJ22" s="32">
        <f t="shared" si="120"/>
        <v>3.9614810263286935</v>
      </c>
      <c r="LK22" s="32">
        <f t="shared" si="121"/>
        <v>2.7735743419401668</v>
      </c>
      <c r="LL22" s="32">
        <f t="shared" si="122"/>
        <v>3.4983733692476302</v>
      </c>
      <c r="LM22" s="32">
        <f t="shared" si="123"/>
        <v>2.8519877418324313</v>
      </c>
    </row>
    <row r="23" spans="1:325" x14ac:dyDescent="0.3">
      <c r="A23" s="11" t="s">
        <v>7</v>
      </c>
      <c r="B23" s="59">
        <v>4.55</v>
      </c>
      <c r="C23" s="3">
        <v>29</v>
      </c>
      <c r="D23" s="57">
        <f t="shared" si="0"/>
        <v>6.3736263736263741</v>
      </c>
      <c r="E23">
        <v>32</v>
      </c>
      <c r="F23">
        <v>32</v>
      </c>
      <c r="G23">
        <v>24</v>
      </c>
      <c r="H23">
        <v>38</v>
      </c>
      <c r="I23">
        <v>39</v>
      </c>
      <c r="J23">
        <v>50</v>
      </c>
      <c r="K23">
        <v>50</v>
      </c>
      <c r="L23">
        <v>36</v>
      </c>
      <c r="M23">
        <v>43</v>
      </c>
      <c r="N23">
        <v>41</v>
      </c>
      <c r="O23">
        <v>33</v>
      </c>
      <c r="P23">
        <v>31</v>
      </c>
      <c r="Q23">
        <v>33</v>
      </c>
      <c r="R23">
        <v>30</v>
      </c>
      <c r="S23">
        <v>39</v>
      </c>
      <c r="T23">
        <v>43</v>
      </c>
      <c r="U23">
        <v>33</v>
      </c>
      <c r="V23">
        <v>31</v>
      </c>
      <c r="W23">
        <v>35</v>
      </c>
      <c r="X23">
        <v>34</v>
      </c>
      <c r="Y23">
        <v>41</v>
      </c>
      <c r="Z23">
        <v>36</v>
      </c>
      <c r="AA23">
        <v>37</v>
      </c>
      <c r="AB23">
        <v>40</v>
      </c>
      <c r="AC23">
        <v>38</v>
      </c>
      <c r="AD23">
        <v>31</v>
      </c>
      <c r="AE23">
        <v>31</v>
      </c>
      <c r="AF23">
        <v>35</v>
      </c>
      <c r="AG23">
        <v>34</v>
      </c>
      <c r="AH23">
        <v>36</v>
      </c>
      <c r="AI23">
        <v>34</v>
      </c>
      <c r="AJ23">
        <v>37</v>
      </c>
      <c r="AK23">
        <v>44</v>
      </c>
      <c r="AL23">
        <v>37</v>
      </c>
      <c r="AM23">
        <v>39</v>
      </c>
      <c r="AN23">
        <v>40</v>
      </c>
      <c r="AO23">
        <v>34</v>
      </c>
      <c r="AP23">
        <v>28</v>
      </c>
      <c r="AQ23">
        <v>30</v>
      </c>
      <c r="AR23">
        <v>26</v>
      </c>
      <c r="AS23">
        <v>36</v>
      </c>
      <c r="AT23">
        <v>41</v>
      </c>
      <c r="AU23">
        <v>33</v>
      </c>
      <c r="AV23">
        <v>39</v>
      </c>
      <c r="AW23">
        <v>39</v>
      </c>
      <c r="AX23">
        <v>32</v>
      </c>
      <c r="AY23">
        <v>34</v>
      </c>
      <c r="AZ23">
        <v>31</v>
      </c>
      <c r="BA23">
        <v>41</v>
      </c>
      <c r="BB23">
        <v>34</v>
      </c>
      <c r="BC23">
        <v>25</v>
      </c>
      <c r="BD23">
        <v>28</v>
      </c>
      <c r="BE23">
        <v>32</v>
      </c>
      <c r="BF23">
        <v>62</v>
      </c>
      <c r="BG23">
        <v>63</v>
      </c>
      <c r="BH23">
        <v>45</v>
      </c>
      <c r="BI23">
        <v>42</v>
      </c>
      <c r="BJ23">
        <v>44</v>
      </c>
      <c r="BK23">
        <v>45</v>
      </c>
      <c r="BL23">
        <v>49</v>
      </c>
      <c r="BM23">
        <v>48</v>
      </c>
      <c r="BN23">
        <v>46</v>
      </c>
      <c r="BO23">
        <v>24</v>
      </c>
      <c r="BP23">
        <v>28</v>
      </c>
      <c r="BQ23">
        <v>38</v>
      </c>
      <c r="BR23">
        <v>30</v>
      </c>
      <c r="BS23">
        <v>51</v>
      </c>
      <c r="BT23">
        <v>41</v>
      </c>
      <c r="BU23">
        <v>38</v>
      </c>
      <c r="BV23">
        <v>25</v>
      </c>
      <c r="BW23"/>
      <c r="BX23">
        <v>24</v>
      </c>
      <c r="BY23">
        <v>25</v>
      </c>
      <c r="BZ23">
        <v>26</v>
      </c>
      <c r="CA23">
        <v>23</v>
      </c>
      <c r="CB23">
        <v>27</v>
      </c>
      <c r="CC23">
        <v>28</v>
      </c>
      <c r="CD23">
        <v>31</v>
      </c>
      <c r="CE23">
        <v>22</v>
      </c>
      <c r="CF23">
        <v>18</v>
      </c>
      <c r="CG23">
        <v>17</v>
      </c>
      <c r="CH23">
        <v>38.76</v>
      </c>
      <c r="CI23" s="3">
        <v>35.479999999999997</v>
      </c>
      <c r="CJ23" s="3">
        <v>31</v>
      </c>
      <c r="CK23" s="3">
        <v>23</v>
      </c>
      <c r="CL23" s="27">
        <f>E23/B23</f>
        <v>7.0329670329670328</v>
      </c>
      <c r="CM23" s="27">
        <f t="shared" si="1"/>
        <v>7.0329670329670328</v>
      </c>
      <c r="CN23" s="27">
        <f t="shared" si="138"/>
        <v>5.2747252747252746</v>
      </c>
      <c r="CO23" s="27">
        <f>H23/B23</f>
        <v>8.3516483516483522</v>
      </c>
      <c r="CP23" s="27">
        <f>I23/B23</f>
        <v>8.5714285714285712</v>
      </c>
      <c r="CQ23" s="27">
        <f t="shared" si="140"/>
        <v>10.989010989010989</v>
      </c>
      <c r="CR23" s="27">
        <f t="shared" si="2"/>
        <v>10.989010989010989</v>
      </c>
      <c r="CS23" s="27">
        <f t="shared" si="55"/>
        <v>9.4505494505494507</v>
      </c>
      <c r="CT23" s="27">
        <f t="shared" si="3"/>
        <v>9.4505494505494507</v>
      </c>
      <c r="CU23" s="27">
        <f t="shared" si="141"/>
        <v>9.0109890109890109</v>
      </c>
      <c r="CV23" s="27">
        <f t="shared" si="4"/>
        <v>7.2527472527472527</v>
      </c>
      <c r="CW23" s="27">
        <f t="shared" si="152"/>
        <v>6.8131868131868139</v>
      </c>
      <c r="CX23" s="27">
        <f t="shared" si="142"/>
        <v>7.2527472527472527</v>
      </c>
      <c r="CY23" s="27">
        <f t="shared" si="143"/>
        <v>6.593406593406594</v>
      </c>
      <c r="CZ23" s="27">
        <f t="shared" si="5"/>
        <v>8.5714285714285712</v>
      </c>
      <c r="DA23" s="27">
        <f t="shared" si="6"/>
        <v>9.4505494505494507</v>
      </c>
      <c r="DB23" s="27">
        <f t="shared" si="7"/>
        <v>7.2527472527472527</v>
      </c>
      <c r="DC23" s="27">
        <f t="shared" si="8"/>
        <v>6.8131868131868139</v>
      </c>
      <c r="DD23" s="27">
        <f t="shared" si="9"/>
        <v>7.6923076923076925</v>
      </c>
      <c r="DE23" s="27">
        <f t="shared" si="10"/>
        <v>7.4725274725274726</v>
      </c>
      <c r="DF23" s="27">
        <f t="shared" si="11"/>
        <v>9.0109890109890109</v>
      </c>
      <c r="DG23" s="27">
        <f t="shared" si="12"/>
        <v>7.9120879120879124</v>
      </c>
      <c r="DH23" s="27">
        <f t="shared" si="56"/>
        <v>8.1318681318681314</v>
      </c>
      <c r="DI23" s="27">
        <f t="shared" si="13"/>
        <v>8.791208791208792</v>
      </c>
      <c r="DJ23" s="27">
        <f t="shared" si="14"/>
        <v>8.3516483516483522</v>
      </c>
      <c r="DK23" s="27">
        <f t="shared" si="15"/>
        <v>6.8131868131868139</v>
      </c>
      <c r="DL23" s="27">
        <f t="shared" si="16"/>
        <v>6.8131868131868139</v>
      </c>
      <c r="DM23" s="27">
        <f t="shared" si="17"/>
        <v>7.6923076923076925</v>
      </c>
      <c r="DN23" s="27">
        <f t="shared" si="18"/>
        <v>7.4725274725274726</v>
      </c>
      <c r="DO23" s="27">
        <f t="shared" si="19"/>
        <v>7.9120879120879124</v>
      </c>
      <c r="DP23" s="27">
        <f t="shared" si="20"/>
        <v>7.4725274725274726</v>
      </c>
      <c r="DQ23" s="27">
        <f t="shared" si="21"/>
        <v>8.1318681318681314</v>
      </c>
      <c r="DR23" s="27">
        <f t="shared" si="22"/>
        <v>9.6703296703296715</v>
      </c>
      <c r="DS23" s="27">
        <f t="shared" si="23"/>
        <v>8.1318681318681314</v>
      </c>
      <c r="DT23" s="27">
        <f t="shared" si="24"/>
        <v>8.5714285714285712</v>
      </c>
      <c r="DU23" s="27">
        <f>AN23/B23</f>
        <v>8.791208791208792</v>
      </c>
      <c r="DV23" s="27">
        <f>AO23/B23</f>
        <v>7.4725274725274726</v>
      </c>
      <c r="DW23" s="27">
        <f t="shared" si="25"/>
        <v>6.1538461538461542</v>
      </c>
      <c r="DX23" s="27">
        <f t="shared" si="57"/>
        <v>6.593406593406594</v>
      </c>
      <c r="DY23" s="27">
        <f t="shared" si="26"/>
        <v>5.7142857142857144</v>
      </c>
      <c r="DZ23" s="27">
        <f t="shared" si="27"/>
        <v>7.9120879120879124</v>
      </c>
      <c r="EA23" s="27">
        <f t="shared" si="28"/>
        <v>9.0109890109890109</v>
      </c>
      <c r="EB23" s="27">
        <f t="shared" si="29"/>
        <v>7.2527472527472527</v>
      </c>
      <c r="EC23" s="27">
        <f t="shared" si="30"/>
        <v>8.5714285714285712</v>
      </c>
      <c r="ED23" s="27">
        <f t="shared" si="31"/>
        <v>8.5714285714285712</v>
      </c>
      <c r="EE23" s="27">
        <f t="shared" si="32"/>
        <v>7.0329670329670328</v>
      </c>
      <c r="EF23" s="27">
        <f t="shared" si="33"/>
        <v>7.4725274725274726</v>
      </c>
      <c r="EG23" s="27">
        <f t="shared" si="34"/>
        <v>6.8131868131868139</v>
      </c>
      <c r="EH23" s="27">
        <f t="shared" si="35"/>
        <v>9.0109890109890109</v>
      </c>
      <c r="EI23" s="27">
        <f t="shared" si="36"/>
        <v>7.4725274725274726</v>
      </c>
      <c r="EJ23" s="27">
        <f t="shared" si="37"/>
        <v>5.4945054945054945</v>
      </c>
      <c r="EK23" s="27">
        <f t="shared" si="144"/>
        <v>6.1538461538461542</v>
      </c>
      <c r="EL23" s="27">
        <f t="shared" si="38"/>
        <v>7.0329670329670328</v>
      </c>
      <c r="EM23" s="27">
        <f t="shared" si="39"/>
        <v>13.626373626373628</v>
      </c>
      <c r="EN23" s="27">
        <f t="shared" si="40"/>
        <v>13.846153846153847</v>
      </c>
      <c r="EO23" s="27">
        <f>BH23/B23</f>
        <v>9.8901098901098905</v>
      </c>
      <c r="EP23" s="27">
        <f t="shared" si="41"/>
        <v>9.2307692307692317</v>
      </c>
      <c r="EQ23" s="27">
        <f t="shared" si="58"/>
        <v>9.6703296703296715</v>
      </c>
      <c r="ER23" s="27">
        <f t="shared" si="59"/>
        <v>9.8901098901098905</v>
      </c>
      <c r="ES23" s="27">
        <f t="shared" si="60"/>
        <v>10.76923076923077</v>
      </c>
      <c r="ET23" s="27">
        <f t="shared" si="61"/>
        <v>10.549450549450549</v>
      </c>
      <c r="EU23" s="27">
        <f t="shared" si="62"/>
        <v>10.109890109890109</v>
      </c>
      <c r="EV23" s="27">
        <f t="shared" si="63"/>
        <v>5.2747252747252746</v>
      </c>
      <c r="EW23" s="27">
        <f t="shared" si="64"/>
        <v>6.1538461538461542</v>
      </c>
      <c r="EX23" s="27">
        <f t="shared" si="65"/>
        <v>8.3516483516483522</v>
      </c>
      <c r="EY23" s="27">
        <f t="shared" si="66"/>
        <v>6.593406593406594</v>
      </c>
      <c r="EZ23" s="27">
        <f t="shared" si="67"/>
        <v>11.20879120879121</v>
      </c>
      <c r="FA23" s="27">
        <f t="shared" si="68"/>
        <v>9.0109890109890109</v>
      </c>
      <c r="FB23" s="27">
        <f t="shared" si="69"/>
        <v>8.3516483516483522</v>
      </c>
      <c r="FC23" s="31"/>
      <c r="FD23" s="32"/>
      <c r="FE23" s="31">
        <f>BX24/B24</f>
        <v>4.056795131845842</v>
      </c>
      <c r="FF23" s="31">
        <f>BY23/B23</f>
        <v>5.4945054945054945</v>
      </c>
      <c r="FG23" s="31">
        <f t="shared" si="70"/>
        <v>5.7142857142857144</v>
      </c>
      <c r="FH23" s="31">
        <f t="shared" si="153"/>
        <v>5.0549450549450547</v>
      </c>
      <c r="FI23" s="31">
        <f>CB23/B23</f>
        <v>5.9340659340659343</v>
      </c>
      <c r="FJ23" s="31">
        <f t="shared" si="43"/>
        <v>6.1538461538461542</v>
      </c>
      <c r="FK23" s="31">
        <f t="shared" si="155"/>
        <v>6.8131868131868139</v>
      </c>
      <c r="FL23" s="31">
        <f t="shared" si="44"/>
        <v>4.8351648351648358</v>
      </c>
      <c r="FM23" s="31">
        <f t="shared" si="45"/>
        <v>3.9560439560439562</v>
      </c>
      <c r="FN23" s="31">
        <f t="shared" si="46"/>
        <v>3.7362637362637363</v>
      </c>
      <c r="FO23" s="31">
        <f t="shared" si="47"/>
        <v>8.5186813186813186</v>
      </c>
      <c r="FP23" s="31">
        <f t="shared" si="48"/>
        <v>7.7978021978021976</v>
      </c>
      <c r="FQ23" s="31">
        <f t="shared" si="49"/>
        <v>6.8131868131868139</v>
      </c>
      <c r="FR23" s="31">
        <f t="shared" si="50"/>
        <v>5.0549450549450547</v>
      </c>
      <c r="FS23" s="3">
        <v>28</v>
      </c>
      <c r="FT23" s="29">
        <f>FS23/B23</f>
        <v>6.1538461538461542</v>
      </c>
      <c r="FU23" s="34">
        <v>1.1299999999999999</v>
      </c>
      <c r="FV23" s="34">
        <v>1.18</v>
      </c>
      <c r="FW23" s="34">
        <v>1.28</v>
      </c>
      <c r="FX23" s="34">
        <v>2.2799999999999998</v>
      </c>
      <c r="FY23" s="34">
        <v>2.14</v>
      </c>
      <c r="FZ23" s="34">
        <v>1.89</v>
      </c>
      <c r="GA23" s="34">
        <v>1.69</v>
      </c>
      <c r="GB23" s="34">
        <v>1.08</v>
      </c>
      <c r="GC23" s="34">
        <v>0.7</v>
      </c>
      <c r="GD23" s="34">
        <v>0.57999999999999996</v>
      </c>
      <c r="GE23" s="34">
        <v>1.23</v>
      </c>
      <c r="GF23" s="3">
        <v>21</v>
      </c>
      <c r="GG23" s="3">
        <v>22</v>
      </c>
      <c r="GH23" s="23" t="s">
        <v>7</v>
      </c>
      <c r="GI23" s="23">
        <v>18</v>
      </c>
      <c r="GJ23" s="23">
        <v>1.7</v>
      </c>
      <c r="GK23" s="23">
        <v>1.5</v>
      </c>
      <c r="GL23" s="36">
        <v>4.55</v>
      </c>
      <c r="GM23" s="37">
        <f t="shared" si="146"/>
        <v>0.24835164835164833</v>
      </c>
      <c r="GN23" s="37">
        <f t="shared" si="124"/>
        <v>0.25934065934065936</v>
      </c>
      <c r="GO23" s="37">
        <f t="shared" si="125"/>
        <v>0.28131868131868132</v>
      </c>
      <c r="GP23" s="37">
        <f t="shared" si="126"/>
        <v>0.50109890109890109</v>
      </c>
      <c r="GQ23" s="37">
        <f t="shared" si="127"/>
        <v>0.47032967032967038</v>
      </c>
      <c r="GR23" s="37">
        <f t="shared" si="128"/>
        <v>0.41538461538461535</v>
      </c>
      <c r="GS23" s="37">
        <f t="shared" si="129"/>
        <v>0.37142857142857144</v>
      </c>
      <c r="GT23" s="37">
        <f t="shared" si="130"/>
        <v>0.23736263736263738</v>
      </c>
      <c r="GU23" s="37">
        <f t="shared" si="131"/>
        <v>0.15384615384615385</v>
      </c>
      <c r="GV23" s="37">
        <f t="shared" si="132"/>
        <v>0.12747252747252746</v>
      </c>
      <c r="GW23" s="37">
        <f t="shared" si="133"/>
        <v>0.27032967032967031</v>
      </c>
      <c r="GX23" s="37">
        <f>GF23/GL23</f>
        <v>4.6153846153846159</v>
      </c>
      <c r="GY23" s="37">
        <f t="shared" si="156"/>
        <v>4.8351648351648358</v>
      </c>
      <c r="GZ23" s="37">
        <f t="shared" si="134"/>
        <v>3.9560439560439562</v>
      </c>
      <c r="HA23" s="50">
        <f t="shared" si="157"/>
        <v>3.9560439560439562</v>
      </c>
      <c r="HB23" s="50">
        <f t="shared" si="135"/>
        <v>0.37362637362637363</v>
      </c>
      <c r="HC23" s="50">
        <f t="shared" si="136"/>
        <v>0.32967032967032966</v>
      </c>
      <c r="HD23" s="23" t="s">
        <v>7</v>
      </c>
      <c r="HE23" s="36">
        <v>4.55</v>
      </c>
      <c r="HG23" s="3">
        <f t="shared" si="75"/>
        <v>7.0329670329670328</v>
      </c>
      <c r="HH23" s="3">
        <f t="shared" si="76"/>
        <v>7.0329670329670328</v>
      </c>
      <c r="HI23" s="3">
        <f t="shared" si="77"/>
        <v>5.2747252747252746</v>
      </c>
      <c r="HJ23" s="3">
        <f t="shared" si="77"/>
        <v>1.3103448275862069</v>
      </c>
      <c r="HK23" s="3">
        <f t="shared" si="77"/>
        <v>6.1189655172413788</v>
      </c>
      <c r="HL23" s="3">
        <f t="shared" si="77"/>
        <v>1.5625</v>
      </c>
      <c r="HM23" s="3">
        <f t="shared" si="77"/>
        <v>1.5625</v>
      </c>
      <c r="HN23" s="3">
        <f t="shared" si="77"/>
        <v>1.5</v>
      </c>
      <c r="HO23" s="3">
        <f t="shared" si="77"/>
        <v>1.131578947368421</v>
      </c>
      <c r="HP23" s="3">
        <f t="shared" si="77"/>
        <v>1.0512820512820513</v>
      </c>
      <c r="HQ23" s="3">
        <f t="shared" si="77"/>
        <v>0.66</v>
      </c>
      <c r="HR23" s="3">
        <f t="shared" si="78"/>
        <v>0.62</v>
      </c>
      <c r="HS23" s="3">
        <f t="shared" si="79"/>
        <v>0.91666666666666663</v>
      </c>
      <c r="HT23" s="3">
        <f t="shared" si="80"/>
        <v>0.69767441860465118</v>
      </c>
      <c r="HU23" s="3">
        <f t="shared" si="81"/>
        <v>0.95121951219512191</v>
      </c>
      <c r="HV23" s="36">
        <v>4.55</v>
      </c>
      <c r="HW23" s="56"/>
      <c r="HX23" s="23" t="s">
        <v>7</v>
      </c>
      <c r="HZ23" s="63">
        <v>13.259027989396193</v>
      </c>
      <c r="IA23" s="63">
        <v>27.581179967748209</v>
      </c>
      <c r="IB23" s="63">
        <v>30.6958719639258</v>
      </c>
      <c r="IC23" s="63">
        <v>20.247044946662541</v>
      </c>
      <c r="ID23" s="63">
        <v>8.4903709465706996</v>
      </c>
      <c r="IE23" s="63">
        <v>11.360229441693798</v>
      </c>
      <c r="IF23" s="63">
        <v>16.056595086517504</v>
      </c>
      <c r="IG23" s="63">
        <v>11.384644980365143</v>
      </c>
      <c r="IH23" s="63">
        <v>17.177004240391863</v>
      </c>
      <c r="II23" s="63">
        <v>9.7650297005710911</v>
      </c>
      <c r="IJ23" s="63">
        <v>11.672967880934737</v>
      </c>
      <c r="IK23" s="63">
        <v>12.738245162848889</v>
      </c>
      <c r="IL23" s="63">
        <v>6.684403283305782</v>
      </c>
      <c r="IM23" s="63">
        <v>14.04989567896696</v>
      </c>
      <c r="IN23" s="63">
        <v>4.2812698478299396</v>
      </c>
      <c r="IO23" s="63">
        <v>13.21731389640167</v>
      </c>
      <c r="IP23" s="63">
        <v>14.88953508811478</v>
      </c>
      <c r="IQ23" s="63">
        <v>20.634156336146226</v>
      </c>
      <c r="IR23" s="63">
        <v>10.243984445263118</v>
      </c>
      <c r="IS23" s="63">
        <v>22.093430360230361</v>
      </c>
      <c r="IT23" s="63">
        <v>13.869872112425805</v>
      </c>
      <c r="IU23" s="63">
        <v>8.3802452552726958</v>
      </c>
      <c r="IV23" s="63"/>
      <c r="IW23" s="67">
        <v>1.7969952662055477</v>
      </c>
      <c r="IX23" s="67">
        <v>0.72469024479029021</v>
      </c>
      <c r="IY23" s="67">
        <v>6.2389513772175862</v>
      </c>
      <c r="JA23" s="63">
        <v>4.6779207281068009</v>
      </c>
      <c r="JB23" s="63">
        <v>3.9414221724843244</v>
      </c>
      <c r="JC23" s="63">
        <v>3.8485452296057736</v>
      </c>
      <c r="JD23" s="63">
        <v>4.288320782639544</v>
      </c>
      <c r="JE23" s="63">
        <v>3.2352121771016087</v>
      </c>
      <c r="JF23" s="63">
        <v>5.0430796758906284</v>
      </c>
      <c r="JG23" s="63">
        <v>4.3811821229225787</v>
      </c>
      <c r="JH23" s="63">
        <v>10.052190138915103</v>
      </c>
      <c r="JI23" s="63">
        <v>7.3767556792388289</v>
      </c>
      <c r="JJ23" s="63">
        <v>8.6546538096530927</v>
      </c>
      <c r="JK23" s="63">
        <v>7.7360620256142889</v>
      </c>
      <c r="JL23" s="63">
        <v>7.8907251973172432</v>
      </c>
      <c r="JM23" s="63">
        <v>10.217915693273072</v>
      </c>
      <c r="JN23" s="63">
        <v>12.944899246159803</v>
      </c>
      <c r="JO23" s="68">
        <v>8.9883790468639955</v>
      </c>
      <c r="JP23" s="68">
        <v>11.153525613643032</v>
      </c>
      <c r="JQ23" s="68">
        <v>9.5750985507711643</v>
      </c>
      <c r="JS23" s="69"/>
      <c r="JT23" s="69"/>
      <c r="JV23" s="73">
        <f t="shared" si="82"/>
        <v>2.9140720855815809</v>
      </c>
      <c r="JW23" s="73">
        <f t="shared" si="83"/>
        <v>6.0617977951094968</v>
      </c>
      <c r="JX23" s="73">
        <f t="shared" si="84"/>
        <v>6.7463454865770993</v>
      </c>
      <c r="JY23" s="73">
        <f t="shared" si="85"/>
        <v>4.4498999882774815</v>
      </c>
      <c r="JZ23" s="73">
        <f t="shared" si="86"/>
        <v>1.8660155926529012</v>
      </c>
      <c r="KA23" s="73">
        <f t="shared" si="87"/>
        <v>2.4967537234491863</v>
      </c>
      <c r="KB23" s="73">
        <f t="shared" si="88"/>
        <v>3.5289219970368144</v>
      </c>
      <c r="KC23" s="73">
        <f t="shared" si="89"/>
        <v>2.5021197759044274</v>
      </c>
      <c r="KD23" s="73">
        <f t="shared" si="90"/>
        <v>3.7751657671190908</v>
      </c>
      <c r="KE23" s="73">
        <f t="shared" si="91"/>
        <v>2.1461603737518882</v>
      </c>
      <c r="KF23" s="73">
        <f t="shared" si="92"/>
        <v>2.5654874463592829</v>
      </c>
      <c r="KG23" s="73">
        <f t="shared" si="93"/>
        <v>2.7996143215052505</v>
      </c>
      <c r="KH23" s="73">
        <f t="shared" si="94"/>
        <v>1.4690996227045676</v>
      </c>
      <c r="KI23" s="73">
        <f t="shared" si="95"/>
        <v>3.0878891602125189</v>
      </c>
      <c r="KJ23" s="73">
        <f t="shared" si="96"/>
        <v>0.94093842809449224</v>
      </c>
      <c r="KK23" s="73">
        <f t="shared" si="97"/>
        <v>2.9049041530553121</v>
      </c>
      <c r="KL23" s="73">
        <f t="shared" si="98"/>
        <v>3.2724252940911605</v>
      </c>
      <c r="KM23" s="73">
        <f t="shared" si="99"/>
        <v>4.5349794145376325</v>
      </c>
      <c r="KN23" s="73">
        <f t="shared" si="100"/>
        <v>2.2514251528050808</v>
      </c>
      <c r="KO23" s="73">
        <f t="shared" si="101"/>
        <v>4.8556989802704091</v>
      </c>
      <c r="KP23" s="73">
        <f t="shared" si="102"/>
        <v>3.0483235411924845</v>
      </c>
      <c r="KQ23" s="73">
        <f t="shared" si="103"/>
        <v>1.8418121440159771</v>
      </c>
      <c r="KS23" s="66">
        <f t="shared" si="104"/>
        <v>0.39494401455066985</v>
      </c>
      <c r="KT23" s="66">
        <f t="shared" si="105"/>
        <v>0.15927258127259125</v>
      </c>
      <c r="KU23" s="66">
        <f t="shared" si="106"/>
        <v>1.371198104882986</v>
      </c>
      <c r="KW23" s="32">
        <f t="shared" si="107"/>
        <v>1.0281144457377585</v>
      </c>
      <c r="KX23" s="32">
        <f t="shared" si="108"/>
        <v>0.86624663131523616</v>
      </c>
      <c r="KY23" s="32">
        <f t="shared" si="109"/>
        <v>0.84583411639687334</v>
      </c>
      <c r="KZ23" s="32">
        <f t="shared" si="110"/>
        <v>0.94248808409660312</v>
      </c>
      <c r="LA23" s="32">
        <f t="shared" si="111"/>
        <v>0.7110356433190349</v>
      </c>
      <c r="LB23" s="32">
        <f t="shared" si="112"/>
        <v>1.1083691595364018</v>
      </c>
      <c r="LC23" s="32">
        <f t="shared" si="113"/>
        <v>0.96289716987309426</v>
      </c>
      <c r="LD23" s="32">
        <f t="shared" si="114"/>
        <v>2.2092725580033195</v>
      </c>
      <c r="LE23" s="32">
        <f t="shared" si="115"/>
        <v>1.6212649844480944</v>
      </c>
      <c r="LF23" s="32">
        <f t="shared" si="116"/>
        <v>1.9021217164072732</v>
      </c>
      <c r="LG23" s="32">
        <f t="shared" si="117"/>
        <v>1.7002334122229208</v>
      </c>
      <c r="LH23" s="32">
        <f t="shared" si="118"/>
        <v>1.7342253180917018</v>
      </c>
      <c r="LI23" s="32">
        <f t="shared" si="119"/>
        <v>2.2456957567633129</v>
      </c>
      <c r="LJ23" s="32">
        <f t="shared" si="120"/>
        <v>2.8450328013538031</v>
      </c>
      <c r="LK23" s="32">
        <f t="shared" si="121"/>
        <v>1.9754679223876914</v>
      </c>
      <c r="LL23" s="32">
        <f t="shared" si="122"/>
        <v>2.4513243106907763</v>
      </c>
      <c r="LM23" s="32">
        <f t="shared" si="123"/>
        <v>2.1044172639057503</v>
      </c>
    </row>
    <row r="24" spans="1:325" x14ac:dyDescent="0.3">
      <c r="A24" s="11" t="s">
        <v>18</v>
      </c>
      <c r="B24" s="59">
        <v>0.49299999999999999</v>
      </c>
      <c r="C24" s="3">
        <v>2.16</v>
      </c>
      <c r="D24" s="57">
        <f t="shared" si="0"/>
        <v>4.3813387423935097</v>
      </c>
      <c r="E24">
        <v>2.82</v>
      </c>
      <c r="F24">
        <v>2.97</v>
      </c>
      <c r="G24">
        <v>3.77</v>
      </c>
      <c r="H24">
        <v>3.44</v>
      </c>
      <c r="I24">
        <v>3.6</v>
      </c>
      <c r="J24">
        <v>4.4400000000000004</v>
      </c>
      <c r="K24">
        <v>4.57</v>
      </c>
      <c r="L24">
        <v>3.01</v>
      </c>
      <c r="M24">
        <v>3.65</v>
      </c>
      <c r="N24">
        <v>3.81</v>
      </c>
      <c r="O24">
        <v>3.11</v>
      </c>
      <c r="P24">
        <v>2.86</v>
      </c>
      <c r="Q24">
        <v>2.7</v>
      </c>
      <c r="R24">
        <v>2.8</v>
      </c>
      <c r="S24">
        <v>4.78</v>
      </c>
      <c r="T24">
        <v>4.4400000000000004</v>
      </c>
      <c r="U24">
        <v>3.05</v>
      </c>
      <c r="V24">
        <v>3</v>
      </c>
      <c r="W24">
        <v>3.31</v>
      </c>
      <c r="X24">
        <v>3.32</v>
      </c>
      <c r="Y24">
        <v>4.28</v>
      </c>
      <c r="Z24">
        <v>3.5</v>
      </c>
      <c r="AA24">
        <v>3.67</v>
      </c>
      <c r="AB24">
        <v>4.21</v>
      </c>
      <c r="AC24">
        <v>3.62</v>
      </c>
      <c r="AD24">
        <v>2.94</v>
      </c>
      <c r="AE24">
        <v>3.1</v>
      </c>
      <c r="AF24">
        <v>3.37</v>
      </c>
      <c r="AG24">
        <v>3.47</v>
      </c>
      <c r="AH24">
        <v>3.67</v>
      </c>
      <c r="AI24">
        <v>3.48</v>
      </c>
      <c r="AJ24">
        <v>3.49</v>
      </c>
      <c r="AK24">
        <v>4.54</v>
      </c>
      <c r="AL24">
        <v>3.76</v>
      </c>
      <c r="AM24">
        <v>3.73</v>
      </c>
      <c r="AN24"/>
      <c r="AO24"/>
      <c r="AP24">
        <v>2.85</v>
      </c>
      <c r="AQ24">
        <v>2.82</v>
      </c>
      <c r="AR24">
        <v>2.61</v>
      </c>
      <c r="AS24">
        <v>3.34</v>
      </c>
      <c r="AT24">
        <v>3.78</v>
      </c>
      <c r="AU24">
        <v>3.08</v>
      </c>
      <c r="AV24">
        <v>3.63</v>
      </c>
      <c r="AW24">
        <v>3.66</v>
      </c>
      <c r="AX24">
        <v>3.01</v>
      </c>
      <c r="AY24">
        <v>3.05</v>
      </c>
      <c r="AZ24">
        <v>2.96</v>
      </c>
      <c r="BA24">
        <v>3.75</v>
      </c>
      <c r="BB24">
        <v>3.21</v>
      </c>
      <c r="BC24">
        <v>2.41</v>
      </c>
      <c r="BD24">
        <v>2.94</v>
      </c>
      <c r="BE24">
        <v>2.96</v>
      </c>
      <c r="BF24">
        <v>5.81</v>
      </c>
      <c r="BG24">
        <v>5.5</v>
      </c>
      <c r="BH24">
        <v>3.82</v>
      </c>
      <c r="BI24">
        <v>3.76</v>
      </c>
      <c r="BJ24">
        <v>4</v>
      </c>
      <c r="BK24">
        <v>4.07</v>
      </c>
      <c r="BL24">
        <v>4.45</v>
      </c>
      <c r="BM24">
        <v>4.43</v>
      </c>
      <c r="BN24">
        <v>4.51</v>
      </c>
      <c r="BO24">
        <v>2.2799999999999998</v>
      </c>
      <c r="BP24">
        <v>2.4500000000000002</v>
      </c>
      <c r="BQ24">
        <v>3.58</v>
      </c>
      <c r="BR24">
        <v>2.9</v>
      </c>
      <c r="BS24">
        <v>5.03</v>
      </c>
      <c r="BT24">
        <v>3.75</v>
      </c>
      <c r="BU24">
        <v>3.3</v>
      </c>
      <c r="BV24"/>
      <c r="BW24">
        <v>2.7</v>
      </c>
      <c r="BX24">
        <v>2</v>
      </c>
      <c r="BY24"/>
      <c r="BZ24">
        <v>2.2799999999999998</v>
      </c>
      <c r="CA24">
        <v>1.8</v>
      </c>
      <c r="CB24">
        <v>2.2400000000000002</v>
      </c>
      <c r="CC24">
        <v>2.23</v>
      </c>
      <c r="CD24">
        <v>2.12</v>
      </c>
      <c r="CE24">
        <v>2</v>
      </c>
      <c r="CF24">
        <v>1.8</v>
      </c>
      <c r="CG24">
        <v>0.98</v>
      </c>
      <c r="CH24">
        <v>3.43</v>
      </c>
      <c r="CI24" s="3">
        <v>3.06</v>
      </c>
      <c r="CJ24" s="3">
        <v>1.93</v>
      </c>
      <c r="CK24" s="3">
        <v>2.5</v>
      </c>
      <c r="CL24" s="27">
        <f>E24/B24</f>
        <v>5.7200811359026362</v>
      </c>
      <c r="CM24" s="27">
        <f t="shared" si="1"/>
        <v>6.0243407707910759</v>
      </c>
      <c r="CN24" s="27">
        <f t="shared" si="138"/>
        <v>7.6470588235294121</v>
      </c>
      <c r="CO24" s="27">
        <f>H24/B24</f>
        <v>6.9776876267748476</v>
      </c>
      <c r="CP24" s="27">
        <f>I24/B24</f>
        <v>7.3022312373225153</v>
      </c>
      <c r="CQ24" s="27">
        <f t="shared" si="140"/>
        <v>9.0060851926977694</v>
      </c>
      <c r="CR24" s="27">
        <f t="shared" si="2"/>
        <v>9.2697768762677484</v>
      </c>
      <c r="CS24" s="27">
        <f t="shared" si="55"/>
        <v>7.4036511156186613</v>
      </c>
      <c r="CT24" s="27">
        <f t="shared" si="3"/>
        <v>7.4036511156186613</v>
      </c>
      <c r="CU24" s="27">
        <f t="shared" si="141"/>
        <v>7.7281947261663291</v>
      </c>
      <c r="CV24" s="27">
        <f t="shared" si="4"/>
        <v>6.3083164300202839</v>
      </c>
      <c r="CW24" s="27">
        <f t="shared" si="152"/>
        <v>5.8012170385395532</v>
      </c>
      <c r="CX24" s="27">
        <f t="shared" si="142"/>
        <v>5.4766734279918872</v>
      </c>
      <c r="CY24" s="27">
        <f t="shared" si="143"/>
        <v>5.6795131845841782</v>
      </c>
      <c r="CZ24" s="27">
        <f t="shared" si="5"/>
        <v>9.695740365111563</v>
      </c>
      <c r="DA24" s="27">
        <f t="shared" si="6"/>
        <v>9.0060851926977694</v>
      </c>
      <c r="DB24" s="27">
        <f t="shared" si="7"/>
        <v>6.186612576064908</v>
      </c>
      <c r="DC24" s="27">
        <f t="shared" si="8"/>
        <v>6.0851926977687629</v>
      </c>
      <c r="DD24" s="27">
        <f t="shared" si="9"/>
        <v>6.7139959432048686</v>
      </c>
      <c r="DE24" s="27">
        <f t="shared" si="10"/>
        <v>6.7342799188640967</v>
      </c>
      <c r="DF24" s="27">
        <f t="shared" si="11"/>
        <v>8.6815415821501016</v>
      </c>
      <c r="DG24" s="27">
        <f t="shared" si="12"/>
        <v>7.0993914807302234</v>
      </c>
      <c r="DH24" s="27">
        <f t="shared" si="56"/>
        <v>7.4442190669371193</v>
      </c>
      <c r="DI24" s="27">
        <f t="shared" si="13"/>
        <v>8.5395537525354968</v>
      </c>
      <c r="DJ24" s="27">
        <f t="shared" si="14"/>
        <v>7.3427991886409743</v>
      </c>
      <c r="DK24" s="27">
        <f t="shared" si="15"/>
        <v>5.9634888438133871</v>
      </c>
      <c r="DL24" s="27">
        <f t="shared" si="16"/>
        <v>6.2880324543610548</v>
      </c>
      <c r="DM24" s="27">
        <f t="shared" si="17"/>
        <v>6.8356997971602436</v>
      </c>
      <c r="DN24" s="27">
        <f t="shared" si="18"/>
        <v>7.0385395537525364</v>
      </c>
      <c r="DO24" s="27">
        <f t="shared" si="19"/>
        <v>7.4442190669371193</v>
      </c>
      <c r="DP24" s="27">
        <f t="shared" si="20"/>
        <v>7.0588235294117645</v>
      </c>
      <c r="DQ24" s="27">
        <f t="shared" si="21"/>
        <v>7.0791075050709944</v>
      </c>
      <c r="DR24" s="27">
        <f t="shared" si="22"/>
        <v>9.2089249492900613</v>
      </c>
      <c r="DS24" s="27">
        <f t="shared" si="23"/>
        <v>7.6267748478701822</v>
      </c>
      <c r="DT24" s="27">
        <f t="shared" si="24"/>
        <v>7.5659229208924952</v>
      </c>
      <c r="DU24" s="27"/>
      <c r="DV24" s="27"/>
      <c r="DW24" s="27">
        <f t="shared" si="25"/>
        <v>5.780933062880325</v>
      </c>
      <c r="DX24" s="27">
        <f t="shared" si="57"/>
        <v>5.7200811359026362</v>
      </c>
      <c r="DY24" s="27">
        <f t="shared" si="26"/>
        <v>5.2941176470588234</v>
      </c>
      <c r="DZ24" s="27">
        <f t="shared" si="27"/>
        <v>6.7748478701825556</v>
      </c>
      <c r="EA24" s="27">
        <f t="shared" si="28"/>
        <v>7.6673427991886403</v>
      </c>
      <c r="EB24" s="27">
        <f t="shared" si="29"/>
        <v>6.2474645030425968</v>
      </c>
      <c r="EC24" s="27">
        <f t="shared" si="30"/>
        <v>7.3630831643002024</v>
      </c>
      <c r="ED24" s="27">
        <f t="shared" si="31"/>
        <v>7.4239350912778912</v>
      </c>
      <c r="EE24" s="27">
        <f t="shared" si="32"/>
        <v>6.1054766734279919</v>
      </c>
      <c r="EF24" s="27">
        <f t="shared" si="33"/>
        <v>6.186612576064908</v>
      </c>
      <c r="EG24" s="27">
        <f t="shared" si="34"/>
        <v>6.004056795131846</v>
      </c>
      <c r="EH24" s="27">
        <f t="shared" si="35"/>
        <v>7.6064908722109532</v>
      </c>
      <c r="EI24" s="27">
        <f t="shared" si="36"/>
        <v>6.5111561866125758</v>
      </c>
      <c r="EJ24" s="27">
        <f t="shared" si="37"/>
        <v>4.8884381338742395</v>
      </c>
      <c r="EK24" s="27">
        <f t="shared" si="144"/>
        <v>5.9634888438133871</v>
      </c>
      <c r="EL24" s="27">
        <f t="shared" si="38"/>
        <v>6.004056795131846</v>
      </c>
      <c r="EM24" s="27">
        <f t="shared" si="39"/>
        <v>11.784989858012169</v>
      </c>
      <c r="EN24" s="27">
        <f t="shared" si="40"/>
        <v>11.156186612576064</v>
      </c>
      <c r="EO24" s="27">
        <f>BH24/B24</f>
        <v>7.7484787018255572</v>
      </c>
      <c r="EP24" s="27">
        <f t="shared" si="41"/>
        <v>7.6267748478701822</v>
      </c>
      <c r="EQ24" s="27">
        <f t="shared" si="58"/>
        <v>8.1135902636916839</v>
      </c>
      <c r="ER24" s="27">
        <f t="shared" si="59"/>
        <v>8.2555780933062888</v>
      </c>
      <c r="ES24" s="27">
        <f t="shared" si="60"/>
        <v>9.0263691683569984</v>
      </c>
      <c r="ET24" s="27">
        <f t="shared" si="61"/>
        <v>8.9858012170385386</v>
      </c>
      <c r="EU24" s="27">
        <f t="shared" si="62"/>
        <v>9.1480730223123725</v>
      </c>
      <c r="EV24" s="27">
        <f t="shared" si="63"/>
        <v>4.6247464503042597</v>
      </c>
      <c r="EW24" s="27">
        <f t="shared" si="64"/>
        <v>4.9695740365111565</v>
      </c>
      <c r="EX24" s="27">
        <f t="shared" si="65"/>
        <v>7.2616632860040573</v>
      </c>
      <c r="EY24" s="27">
        <f t="shared" si="66"/>
        <v>5.8823529411764701</v>
      </c>
      <c r="EZ24" s="27">
        <f t="shared" si="67"/>
        <v>10.202839756592292</v>
      </c>
      <c r="FA24" s="27">
        <f t="shared" si="68"/>
        <v>7.6064908722109532</v>
      </c>
      <c r="FB24" s="27">
        <f t="shared" si="69"/>
        <v>6.6937119675456387</v>
      </c>
      <c r="FC24" s="31"/>
      <c r="FD24" s="32"/>
      <c r="FE24" s="31"/>
      <c r="FF24" s="31"/>
      <c r="FG24" s="31">
        <f t="shared" si="70"/>
        <v>4.6247464503042597</v>
      </c>
      <c r="FH24" s="31">
        <f t="shared" si="153"/>
        <v>3.6511156186612577</v>
      </c>
      <c r="FI24" s="31">
        <f>CB24/B24</f>
        <v>4.5436105476673436</v>
      </c>
      <c r="FJ24" s="31">
        <f t="shared" si="43"/>
        <v>4.5233265720081137</v>
      </c>
      <c r="FK24" s="31">
        <f t="shared" si="155"/>
        <v>4.3002028397565928</v>
      </c>
      <c r="FL24" s="31">
        <f t="shared" si="44"/>
        <v>4.056795131845842</v>
      </c>
      <c r="FM24" s="31">
        <f t="shared" si="45"/>
        <v>3.6511156186612577</v>
      </c>
      <c r="FN24" s="31">
        <f t="shared" si="46"/>
        <v>1.9878296146044625</v>
      </c>
      <c r="FO24" s="31">
        <f t="shared" si="47"/>
        <v>6.9574036511156194</v>
      </c>
      <c r="FP24" s="31">
        <f t="shared" si="48"/>
        <v>6.2068965517241379</v>
      </c>
      <c r="FQ24" s="31">
        <f t="shared" si="49"/>
        <v>3.9148073022312371</v>
      </c>
      <c r="FR24" s="31">
        <f t="shared" si="50"/>
        <v>5.0709939148073024</v>
      </c>
      <c r="FS24" s="3">
        <v>3.05</v>
      </c>
      <c r="FT24" s="29">
        <f>FS24/B24</f>
        <v>6.186612576064908</v>
      </c>
      <c r="FU24" s="34">
        <v>0.114</v>
      </c>
      <c r="FV24" s="34">
        <v>0.14299999999999999</v>
      </c>
      <c r="FW24" s="34">
        <v>0.113</v>
      </c>
      <c r="FX24" s="34">
        <v>0.24199999999999999</v>
      </c>
      <c r="FY24" s="34">
        <v>0.23300000000000001</v>
      </c>
      <c r="FZ24" s="34">
        <v>0.27900000000000003</v>
      </c>
      <c r="GA24" s="34">
        <v>0.23499999999999999</v>
      </c>
      <c r="GB24" s="34">
        <v>8.7999999999999995E-2</v>
      </c>
      <c r="GC24" s="34">
        <v>6.8000000000000005E-2</v>
      </c>
      <c r="GD24" s="34">
        <v>6.3E-2</v>
      </c>
      <c r="GE24" s="34">
        <v>9.0999999999999998E-2</v>
      </c>
      <c r="GF24" s="3">
        <v>1.3</v>
      </c>
      <c r="GG24" s="3">
        <v>1.4</v>
      </c>
      <c r="GH24" s="23" t="s">
        <v>18</v>
      </c>
      <c r="GI24" s="23">
        <v>1.6</v>
      </c>
      <c r="GJ24" s="23">
        <v>0.24</v>
      </c>
      <c r="GK24" s="23">
        <v>0.22</v>
      </c>
      <c r="GL24" s="36">
        <v>0.49299999999999999</v>
      </c>
      <c r="GM24" s="37">
        <f t="shared" si="146"/>
        <v>0.23123732251521301</v>
      </c>
      <c r="GN24" s="37">
        <f t="shared" si="124"/>
        <v>0.29006085192697767</v>
      </c>
      <c r="GO24" s="37">
        <f t="shared" si="125"/>
        <v>0.22920892494929007</v>
      </c>
      <c r="GP24" s="37">
        <f t="shared" si="126"/>
        <v>0.49087221095334682</v>
      </c>
      <c r="GQ24" s="37">
        <f t="shared" si="127"/>
        <v>0.47261663286004058</v>
      </c>
      <c r="GR24" s="37">
        <f t="shared" si="128"/>
        <v>0.56592292089249496</v>
      </c>
      <c r="GS24" s="37">
        <f t="shared" si="129"/>
        <v>0.47667342799188639</v>
      </c>
      <c r="GT24" s="37">
        <f t="shared" si="130"/>
        <v>0.17849898580121704</v>
      </c>
      <c r="GU24" s="37">
        <f t="shared" si="131"/>
        <v>0.13793103448275862</v>
      </c>
      <c r="GV24" s="37">
        <f t="shared" si="132"/>
        <v>0.12778904665314403</v>
      </c>
      <c r="GW24" s="37">
        <f t="shared" si="133"/>
        <v>0.18458417849898578</v>
      </c>
      <c r="GX24" s="37">
        <f>GF24/GL24</f>
        <v>2.6369168356997972</v>
      </c>
      <c r="GY24" s="37">
        <f t="shared" si="156"/>
        <v>2.8397565922920891</v>
      </c>
      <c r="GZ24" s="37">
        <f t="shared" si="134"/>
        <v>3.2454361054766738</v>
      </c>
      <c r="HA24" s="50">
        <f t="shared" si="157"/>
        <v>3.2454361054766738</v>
      </c>
      <c r="HB24" s="50">
        <f t="shared" si="135"/>
        <v>0.48681541582150101</v>
      </c>
      <c r="HC24" s="50">
        <f t="shared" si="136"/>
        <v>0.44624746450304259</v>
      </c>
      <c r="HD24" s="23" t="s">
        <v>18</v>
      </c>
      <c r="HE24" s="36">
        <v>0.49299999999999999</v>
      </c>
      <c r="HG24" s="3">
        <f t="shared" si="75"/>
        <v>6.0243407707910759</v>
      </c>
      <c r="HH24" s="3">
        <f t="shared" si="76"/>
        <v>6.0243407707910759</v>
      </c>
      <c r="HI24" s="3">
        <f t="shared" si="77"/>
        <v>7.6470588235294121</v>
      </c>
      <c r="HJ24" s="3">
        <f t="shared" si="77"/>
        <v>1.5925925925925926</v>
      </c>
      <c r="HK24" s="3">
        <f t="shared" si="77"/>
        <v>0.82166666666666655</v>
      </c>
      <c r="HL24" s="3">
        <f t="shared" si="77"/>
        <v>1.5744680851063833</v>
      </c>
      <c r="HM24" s="3">
        <f t="shared" si="77"/>
        <v>1.5387205387205387</v>
      </c>
      <c r="HN24" s="3">
        <f t="shared" si="77"/>
        <v>0.79840848806366038</v>
      </c>
      <c r="HO24" s="3">
        <f t="shared" si="77"/>
        <v>1.0610465116279069</v>
      </c>
      <c r="HP24" s="3">
        <f t="shared" si="77"/>
        <v>1.0583333333333333</v>
      </c>
      <c r="HQ24" s="3">
        <f t="shared" si="77"/>
        <v>0.7004504504504504</v>
      </c>
      <c r="HR24" s="3">
        <f t="shared" si="78"/>
        <v>0.62582056892778992</v>
      </c>
      <c r="HS24" s="3">
        <f t="shared" si="79"/>
        <v>0.89700996677740874</v>
      </c>
      <c r="HT24" s="3">
        <f t="shared" si="80"/>
        <v>0.76712328767123283</v>
      </c>
      <c r="HU24" s="3">
        <f t="shared" si="81"/>
        <v>1.2545931758530184</v>
      </c>
      <c r="HV24" s="36">
        <v>0.49299999999999999</v>
      </c>
      <c r="HW24" s="56"/>
      <c r="HX24" s="23" t="s">
        <v>18</v>
      </c>
      <c r="HZ24" s="63">
        <v>1.195161959571188</v>
      </c>
      <c r="IA24" s="63">
        <v>2.6386849962797001</v>
      </c>
      <c r="IB24" s="63">
        <v>2.8475798561128451</v>
      </c>
      <c r="IC24" s="63">
        <v>1.9272501283173922</v>
      </c>
      <c r="ID24" s="63">
        <v>0.86535769966177356</v>
      </c>
      <c r="IE24" s="63">
        <v>1.1650110434642384</v>
      </c>
      <c r="IF24" s="63">
        <v>1.6334695105380412</v>
      </c>
      <c r="IG24" s="63">
        <v>1.1675630924305926</v>
      </c>
      <c r="IH24" s="63">
        <v>1.6974683398790338</v>
      </c>
      <c r="II24" s="63">
        <v>0.91440318955059474</v>
      </c>
      <c r="IJ24" s="63">
        <v>1.1782933800162474</v>
      </c>
      <c r="IK24" s="63">
        <v>1.2515251369509408</v>
      </c>
      <c r="IL24" s="63">
        <v>0.6351140114241498</v>
      </c>
      <c r="IM24" s="63">
        <v>1.3692300477920096</v>
      </c>
      <c r="IN24" s="63">
        <v>0.40095614138083946</v>
      </c>
      <c r="IO24" s="63">
        <v>1.282867256398011</v>
      </c>
      <c r="IP24" s="63">
        <v>1.4458629323264967</v>
      </c>
      <c r="IQ24" s="63">
        <v>1.9038225349013669</v>
      </c>
      <c r="IR24" s="63">
        <v>0.97245446905614186</v>
      </c>
      <c r="IS24" s="63">
        <v>1.8649297314012117</v>
      </c>
      <c r="IT24" s="63">
        <v>1.389767921248914</v>
      </c>
      <c r="IU24" s="63">
        <v>0.83113264019226474</v>
      </c>
      <c r="IV24" s="63"/>
      <c r="IW24" s="67">
        <v>0.19459473559851728</v>
      </c>
      <c r="IX24" s="67">
        <v>8.2926848775988035E-2</v>
      </c>
      <c r="IY24" s="67">
        <v>0.56994955488659782</v>
      </c>
      <c r="JA24" s="63">
        <v>0.47167843915924118</v>
      </c>
      <c r="JB24" s="63">
        <v>0.39987952661291282</v>
      </c>
      <c r="JC24" s="63">
        <v>0.37745959215161828</v>
      </c>
      <c r="JD24" s="63">
        <v>0.41493608798833653</v>
      </c>
      <c r="JE24" s="63">
        <v>0.31949302141187863</v>
      </c>
      <c r="JF24" s="63">
        <v>0.47720077673738576</v>
      </c>
      <c r="JG24" s="63">
        <v>0.44686333110514165</v>
      </c>
      <c r="JH24" s="63">
        <v>0.91844733046027893</v>
      </c>
      <c r="JI24" s="63">
        <v>0.72406886978187401</v>
      </c>
      <c r="JJ24" s="63">
        <v>0.82633393036048575</v>
      </c>
      <c r="JK24" s="63">
        <v>0.77185132446321536</v>
      </c>
      <c r="JL24" s="63">
        <v>0.77517143572550118</v>
      </c>
      <c r="JM24" s="63">
        <v>0.94019503107317171</v>
      </c>
      <c r="JN24" s="63">
        <v>1.1551511220424451</v>
      </c>
      <c r="JO24" s="63">
        <v>0.86477821106991948</v>
      </c>
      <c r="JP24" s="63">
        <v>1.0391554503553748</v>
      </c>
      <c r="JQ24" s="63">
        <v>0.90498900210422628</v>
      </c>
      <c r="JS24" s="69"/>
      <c r="JT24" s="69"/>
      <c r="JV24" s="73">
        <f t="shared" si="82"/>
        <v>2.4242636096778662</v>
      </c>
      <c r="JW24" s="73">
        <f t="shared" si="83"/>
        <v>5.3523022236910753</v>
      </c>
      <c r="JX24" s="73">
        <f t="shared" si="84"/>
        <v>5.7760240489104362</v>
      </c>
      <c r="JY24" s="73">
        <f t="shared" si="85"/>
        <v>3.9092294692036353</v>
      </c>
      <c r="JZ24" s="73">
        <f t="shared" si="86"/>
        <v>1.7552894516465996</v>
      </c>
      <c r="KA24" s="73">
        <f t="shared" si="87"/>
        <v>2.3631055648361836</v>
      </c>
      <c r="KB24" s="73">
        <f t="shared" si="88"/>
        <v>3.3133255791846681</v>
      </c>
      <c r="KC24" s="73">
        <f t="shared" si="89"/>
        <v>2.3682821347476524</v>
      </c>
      <c r="KD24" s="73">
        <f t="shared" si="90"/>
        <v>3.4431406488418537</v>
      </c>
      <c r="KE24" s="73">
        <f t="shared" si="91"/>
        <v>1.8547732039565816</v>
      </c>
      <c r="KF24" s="73">
        <f t="shared" si="92"/>
        <v>2.3900474239680474</v>
      </c>
      <c r="KG24" s="73">
        <f t="shared" si="93"/>
        <v>2.5385905414826384</v>
      </c>
      <c r="KH24" s="73">
        <f t="shared" si="94"/>
        <v>1.2882637148562877</v>
      </c>
      <c r="KI24" s="73">
        <f t="shared" si="95"/>
        <v>2.777342896129837</v>
      </c>
      <c r="KJ24" s="73">
        <f t="shared" si="96"/>
        <v>0.81329846121874128</v>
      </c>
      <c r="KK24" s="73">
        <f t="shared" si="97"/>
        <v>2.6021648202799414</v>
      </c>
      <c r="KL24" s="73">
        <f t="shared" si="98"/>
        <v>2.9327848525892426</v>
      </c>
      <c r="KM24" s="73">
        <f t="shared" si="99"/>
        <v>3.8617089957431379</v>
      </c>
      <c r="KN24" s="73">
        <f t="shared" si="100"/>
        <v>1.9725242780043446</v>
      </c>
      <c r="KO24" s="73">
        <f t="shared" si="101"/>
        <v>3.7828189277915043</v>
      </c>
      <c r="KP24" s="73">
        <f t="shared" si="102"/>
        <v>2.819001868659055</v>
      </c>
      <c r="KQ24" s="73">
        <f t="shared" si="103"/>
        <v>1.6858674243250806</v>
      </c>
      <c r="KS24" s="66">
        <f t="shared" si="104"/>
        <v>0.39471548802944684</v>
      </c>
      <c r="KT24" s="66">
        <f t="shared" si="105"/>
        <v>0.16820861820687227</v>
      </c>
      <c r="KU24" s="66">
        <f t="shared" si="106"/>
        <v>1.1560842898308272</v>
      </c>
      <c r="KW24" s="32">
        <f t="shared" si="107"/>
        <v>0.95675139788892738</v>
      </c>
      <c r="KX24" s="32">
        <f t="shared" si="108"/>
        <v>0.81111465844404218</v>
      </c>
      <c r="KY24" s="32">
        <f t="shared" si="109"/>
        <v>0.76563811795460102</v>
      </c>
      <c r="KZ24" s="32">
        <f t="shared" si="110"/>
        <v>0.8416553508891208</v>
      </c>
      <c r="LA24" s="32">
        <f t="shared" si="111"/>
        <v>0.64805886696121429</v>
      </c>
      <c r="LB24" s="32">
        <f t="shared" si="112"/>
        <v>0.96795289399064044</v>
      </c>
      <c r="LC24" s="32">
        <f t="shared" si="113"/>
        <v>0.90641649311387762</v>
      </c>
      <c r="LD24" s="32">
        <f t="shared" si="114"/>
        <v>1.8629763295340345</v>
      </c>
      <c r="LE24" s="32">
        <f t="shared" si="115"/>
        <v>1.4686995330261137</v>
      </c>
      <c r="LF24" s="32">
        <f t="shared" si="116"/>
        <v>1.6761337329827297</v>
      </c>
      <c r="LG24" s="32">
        <f t="shared" si="117"/>
        <v>1.5656213477955687</v>
      </c>
      <c r="LH24" s="32">
        <f t="shared" si="118"/>
        <v>1.5723558533985826</v>
      </c>
      <c r="LI24" s="32">
        <f t="shared" si="119"/>
        <v>1.9070893125216466</v>
      </c>
      <c r="LJ24" s="32">
        <f t="shared" si="120"/>
        <v>2.3431057242240265</v>
      </c>
      <c r="LK24" s="32">
        <f t="shared" si="121"/>
        <v>1.7541140183974027</v>
      </c>
      <c r="LL24" s="32">
        <f t="shared" si="122"/>
        <v>2.1078203861163791</v>
      </c>
      <c r="LM24" s="32">
        <f t="shared" si="123"/>
        <v>1.8356774890552257</v>
      </c>
    </row>
    <row r="25" spans="1:325" x14ac:dyDescent="0.3">
      <c r="A25" s="11" t="s">
        <v>19</v>
      </c>
      <c r="B25" s="59">
        <v>7.3999999999999996E-2</v>
      </c>
      <c r="C25" s="3">
        <v>0.3</v>
      </c>
      <c r="D25" s="57">
        <f t="shared" si="0"/>
        <v>4.0540540540540544</v>
      </c>
      <c r="E25">
        <v>0.46</v>
      </c>
      <c r="F25">
        <v>0.47</v>
      </c>
      <c r="G25">
        <v>0.53</v>
      </c>
      <c r="H25">
        <v>0.54</v>
      </c>
      <c r="I25">
        <v>0.56999999999999995</v>
      </c>
      <c r="J25">
        <v>0.73</v>
      </c>
      <c r="K25">
        <v>0.72</v>
      </c>
      <c r="L25">
        <v>0.48</v>
      </c>
      <c r="M25">
        <v>0.56000000000000005</v>
      </c>
      <c r="N25">
        <v>0.56999999999999995</v>
      </c>
      <c r="O25">
        <v>0.47</v>
      </c>
      <c r="P25">
        <v>0.45</v>
      </c>
      <c r="Q25">
        <v>0.44</v>
      </c>
      <c r="R25">
        <v>0.53</v>
      </c>
      <c r="S25">
        <v>0.72</v>
      </c>
      <c r="T25">
        <v>0.7</v>
      </c>
      <c r="U25">
        <v>0.47</v>
      </c>
      <c r="V25">
        <v>0.47</v>
      </c>
      <c r="W25">
        <v>0.51</v>
      </c>
      <c r="X25">
        <v>0.51</v>
      </c>
      <c r="Y25">
        <v>0.67</v>
      </c>
      <c r="Z25">
        <v>0.55000000000000004</v>
      </c>
      <c r="AA25">
        <v>0.55000000000000004</v>
      </c>
      <c r="AB25">
        <v>0.66</v>
      </c>
      <c r="AC25">
        <v>0.56999999999999995</v>
      </c>
      <c r="AD25">
        <v>0.45</v>
      </c>
      <c r="AE25">
        <v>0.49</v>
      </c>
      <c r="AF25">
        <v>0.52</v>
      </c>
      <c r="AG25">
        <v>0.55000000000000004</v>
      </c>
      <c r="AH25">
        <v>0.56999999999999995</v>
      </c>
      <c r="AI25">
        <v>0.54</v>
      </c>
      <c r="AJ25">
        <v>0.55000000000000004</v>
      </c>
      <c r="AK25">
        <v>0.73</v>
      </c>
      <c r="AL25">
        <v>0.6</v>
      </c>
      <c r="AM25">
        <v>0.57999999999999996</v>
      </c>
      <c r="AN25"/>
      <c r="AO25"/>
      <c r="AP25">
        <v>0.44</v>
      </c>
      <c r="AQ25">
        <v>0.44</v>
      </c>
      <c r="AR25">
        <v>0.42</v>
      </c>
      <c r="AS25">
        <v>0.51</v>
      </c>
      <c r="AT25">
        <v>0.6</v>
      </c>
      <c r="AU25">
        <v>0.48</v>
      </c>
      <c r="AV25">
        <v>0.56000000000000005</v>
      </c>
      <c r="AW25">
        <v>0.56999999999999995</v>
      </c>
      <c r="AX25">
        <v>0.48</v>
      </c>
      <c r="AY25">
        <v>0.48</v>
      </c>
      <c r="AZ25">
        <v>0.47</v>
      </c>
      <c r="BA25">
        <v>0.57999999999999996</v>
      </c>
      <c r="BB25">
        <v>0.5</v>
      </c>
      <c r="BC25">
        <v>0.4</v>
      </c>
      <c r="BD25">
        <v>0.46</v>
      </c>
      <c r="BE25">
        <v>0.46</v>
      </c>
      <c r="BF25">
        <v>0.93</v>
      </c>
      <c r="BG25">
        <v>0.87</v>
      </c>
      <c r="BH25">
        <v>0.61</v>
      </c>
      <c r="BI25">
        <v>0.57999999999999996</v>
      </c>
      <c r="BJ25">
        <v>0.57999999999999996</v>
      </c>
      <c r="BK25">
        <v>0.62</v>
      </c>
      <c r="BL25">
        <v>0.7</v>
      </c>
      <c r="BM25">
        <v>0.66</v>
      </c>
      <c r="BN25">
        <v>0.68</v>
      </c>
      <c r="BO25">
        <v>0.34</v>
      </c>
      <c r="BP25">
        <v>0.38</v>
      </c>
      <c r="BQ25">
        <v>0.55000000000000004</v>
      </c>
      <c r="BR25">
        <v>0.43</v>
      </c>
      <c r="BS25">
        <v>0.75</v>
      </c>
      <c r="BT25">
        <v>0.55000000000000004</v>
      </c>
      <c r="BU25">
        <v>0.48</v>
      </c>
      <c r="BV25"/>
      <c r="BW25">
        <v>0.42</v>
      </c>
      <c r="BX25"/>
      <c r="BY25"/>
      <c r="BZ25">
        <v>0.35</v>
      </c>
      <c r="CA25">
        <v>0.27</v>
      </c>
      <c r="CB25"/>
      <c r="CC25">
        <v>0.32</v>
      </c>
      <c r="CD25">
        <v>0.31</v>
      </c>
      <c r="CE25">
        <v>0.28000000000000003</v>
      </c>
      <c r="CF25">
        <v>0.28000000000000003</v>
      </c>
      <c r="CG25">
        <v>0.16</v>
      </c>
      <c r="CH25">
        <v>0.52</v>
      </c>
      <c r="CI25" s="3">
        <v>0.55000000000000004</v>
      </c>
      <c r="CL25" s="27">
        <f>E25/B25</f>
        <v>6.2162162162162167</v>
      </c>
      <c r="CM25" s="27">
        <f t="shared" si="1"/>
        <v>6.3513513513513509</v>
      </c>
      <c r="CN25" s="27">
        <f t="shared" si="138"/>
        <v>7.1621621621621632</v>
      </c>
      <c r="CO25" s="27">
        <f>H25/B25</f>
        <v>7.2972972972972983</v>
      </c>
      <c r="CP25" s="27"/>
      <c r="CQ25" s="27">
        <f t="shared" si="140"/>
        <v>9.8648648648648649</v>
      </c>
      <c r="CR25" s="27">
        <f t="shared" si="2"/>
        <v>9.7297297297297298</v>
      </c>
      <c r="CS25" s="27">
        <f t="shared" si="55"/>
        <v>7.5675675675675684</v>
      </c>
      <c r="CT25" s="27">
        <f t="shared" si="3"/>
        <v>7.5675675675675684</v>
      </c>
      <c r="CU25" s="27">
        <f t="shared" si="141"/>
        <v>7.7027027027027026</v>
      </c>
      <c r="CV25" s="27">
        <f t="shared" si="4"/>
        <v>6.3513513513513509</v>
      </c>
      <c r="CW25" s="27">
        <f t="shared" si="152"/>
        <v>6.0810810810810816</v>
      </c>
      <c r="CX25" s="27">
        <f t="shared" si="142"/>
        <v>5.9459459459459465</v>
      </c>
      <c r="CY25" s="27">
        <f t="shared" si="143"/>
        <v>7.1621621621621632</v>
      </c>
      <c r="CZ25" s="27">
        <f t="shared" si="5"/>
        <v>9.7297297297297298</v>
      </c>
      <c r="DA25" s="27">
        <f t="shared" si="6"/>
        <v>9.4594594594594597</v>
      </c>
      <c r="DB25" s="27">
        <f t="shared" si="7"/>
        <v>6.3513513513513509</v>
      </c>
      <c r="DC25" s="27">
        <f t="shared" si="8"/>
        <v>6.3513513513513509</v>
      </c>
      <c r="DD25" s="27">
        <f t="shared" si="9"/>
        <v>6.8918918918918921</v>
      </c>
      <c r="DE25" s="27">
        <f t="shared" si="10"/>
        <v>6.8918918918918921</v>
      </c>
      <c r="DF25" s="27">
        <f t="shared" si="11"/>
        <v>9.0540540540540544</v>
      </c>
      <c r="DG25" s="27">
        <f t="shared" si="12"/>
        <v>7.4324324324324333</v>
      </c>
      <c r="DH25" s="27">
        <f t="shared" si="56"/>
        <v>7.4324324324324333</v>
      </c>
      <c r="DI25" s="27">
        <f t="shared" si="13"/>
        <v>8.9189189189189193</v>
      </c>
      <c r="DJ25" s="27">
        <f t="shared" si="14"/>
        <v>7.7027027027027026</v>
      </c>
      <c r="DK25" s="27">
        <f t="shared" si="15"/>
        <v>6.0810810810810816</v>
      </c>
      <c r="DL25" s="27">
        <f t="shared" si="16"/>
        <v>6.6216216216216219</v>
      </c>
      <c r="DM25" s="27">
        <f t="shared" si="17"/>
        <v>7.0270270270270272</v>
      </c>
      <c r="DN25" s="27">
        <f t="shared" si="18"/>
        <v>7.4324324324324333</v>
      </c>
      <c r="DO25" s="27">
        <f t="shared" si="19"/>
        <v>7.7027027027027026</v>
      </c>
      <c r="DP25" s="27">
        <f t="shared" si="20"/>
        <v>7.2972972972972983</v>
      </c>
      <c r="DQ25" s="27">
        <f t="shared" si="21"/>
        <v>7.4324324324324333</v>
      </c>
      <c r="DR25" s="27">
        <f t="shared" si="22"/>
        <v>9.8648648648648649</v>
      </c>
      <c r="DS25" s="27">
        <f t="shared" si="23"/>
        <v>8.1081081081081088</v>
      </c>
      <c r="DT25" s="27">
        <f t="shared" si="24"/>
        <v>7.8378378378378377</v>
      </c>
      <c r="DU25" s="27"/>
      <c r="DV25" s="27"/>
      <c r="DW25" s="27">
        <f t="shared" si="25"/>
        <v>5.9459459459459465</v>
      </c>
      <c r="DX25" s="27">
        <f t="shared" si="57"/>
        <v>5.9459459459459465</v>
      </c>
      <c r="DY25" s="27">
        <f t="shared" si="26"/>
        <v>5.6756756756756754</v>
      </c>
      <c r="DZ25" s="27">
        <f t="shared" si="27"/>
        <v>6.8918918918918921</v>
      </c>
      <c r="EA25" s="27">
        <f t="shared" si="28"/>
        <v>8.1081081081081088</v>
      </c>
      <c r="EB25" s="27">
        <f t="shared" si="29"/>
        <v>6.4864864864864868</v>
      </c>
      <c r="EC25" s="27">
        <f t="shared" si="30"/>
        <v>7.5675675675675684</v>
      </c>
      <c r="ED25" s="27">
        <f t="shared" si="31"/>
        <v>7.7027027027027026</v>
      </c>
      <c r="EE25" s="27">
        <f t="shared" si="32"/>
        <v>6.4864864864864868</v>
      </c>
      <c r="EF25" s="27">
        <f t="shared" si="33"/>
        <v>6.4864864864864868</v>
      </c>
      <c r="EG25" s="27">
        <f t="shared" si="34"/>
        <v>6.3513513513513509</v>
      </c>
      <c r="EH25" s="27">
        <f t="shared" si="35"/>
        <v>7.8378378378378377</v>
      </c>
      <c r="EI25" s="27">
        <f t="shared" si="36"/>
        <v>6.756756756756757</v>
      </c>
      <c r="EJ25" s="27">
        <f t="shared" si="37"/>
        <v>5.4054054054054061</v>
      </c>
      <c r="EK25" s="27">
        <f t="shared" si="144"/>
        <v>6.2162162162162167</v>
      </c>
      <c r="EL25" s="27">
        <f t="shared" si="38"/>
        <v>6.2162162162162167</v>
      </c>
      <c r="EM25" s="27">
        <f t="shared" si="39"/>
        <v>12.567567567567568</v>
      </c>
      <c r="EN25" s="27">
        <f t="shared" si="40"/>
        <v>11.756756756756758</v>
      </c>
      <c r="EO25" s="27">
        <f>BH25/B25</f>
        <v>8.2432432432432439</v>
      </c>
      <c r="EP25" s="27">
        <f t="shared" si="41"/>
        <v>7.8378378378378377</v>
      </c>
      <c r="EQ25" s="27">
        <f t="shared" si="58"/>
        <v>7.8378378378378377</v>
      </c>
      <c r="ER25" s="27">
        <f t="shared" si="59"/>
        <v>8.378378378378379</v>
      </c>
      <c r="ES25" s="27">
        <f t="shared" si="60"/>
        <v>9.4594594594594597</v>
      </c>
      <c r="ET25" s="27">
        <f t="shared" si="61"/>
        <v>8.9189189189189193</v>
      </c>
      <c r="EU25" s="27">
        <f t="shared" si="62"/>
        <v>9.1891891891891895</v>
      </c>
      <c r="EV25" s="27">
        <f t="shared" si="63"/>
        <v>4.5945945945945947</v>
      </c>
      <c r="EW25" s="27">
        <f t="shared" si="64"/>
        <v>5.1351351351351351</v>
      </c>
      <c r="EX25" s="27">
        <f t="shared" si="65"/>
        <v>7.4324324324324333</v>
      </c>
      <c r="EY25" s="27">
        <f t="shared" si="66"/>
        <v>5.8108108108108114</v>
      </c>
      <c r="EZ25" s="27">
        <f t="shared" si="67"/>
        <v>10.135135135135135</v>
      </c>
      <c r="FA25" s="27">
        <f t="shared" si="68"/>
        <v>7.4324324324324333</v>
      </c>
      <c r="FB25" s="27">
        <f t="shared" si="69"/>
        <v>6.4864864864864868</v>
      </c>
      <c r="FC25" s="31"/>
      <c r="FD25" s="32"/>
      <c r="FE25" s="31"/>
      <c r="FF25" s="31"/>
      <c r="FG25" s="31"/>
      <c r="FH25" s="31">
        <f t="shared" si="153"/>
        <v>3.6486486486486491</v>
      </c>
      <c r="FI25" s="31"/>
      <c r="FJ25" s="31">
        <f t="shared" si="43"/>
        <v>4.3243243243243246</v>
      </c>
      <c r="FK25" s="31">
        <f t="shared" si="155"/>
        <v>4.1891891891891895</v>
      </c>
      <c r="FL25" s="31">
        <f t="shared" si="44"/>
        <v>3.7837837837837842</v>
      </c>
      <c r="FM25" s="31">
        <f t="shared" si="45"/>
        <v>3.7837837837837842</v>
      </c>
      <c r="FN25" s="31">
        <f t="shared" si="46"/>
        <v>2.1621621621621623</v>
      </c>
      <c r="FO25" s="31">
        <f t="shared" si="47"/>
        <v>7.0270270270270272</v>
      </c>
      <c r="FP25" s="31">
        <f t="shared" si="48"/>
        <v>7.4324324324324333</v>
      </c>
      <c r="FQ25" s="31">
        <f t="shared" si="49"/>
        <v>0</v>
      </c>
      <c r="FR25" s="31">
        <f t="shared" si="50"/>
        <v>0</v>
      </c>
      <c r="FT25" s="29">
        <f>FS25/B25</f>
        <v>0</v>
      </c>
      <c r="FU25" s="34">
        <v>0.11700000000000001</v>
      </c>
      <c r="FV25" s="34">
        <v>2.1999999999999999E-2</v>
      </c>
      <c r="FW25" s="34">
        <v>1.7999999999999999E-2</v>
      </c>
      <c r="FX25" s="34">
        <v>3.6999999999999998E-2</v>
      </c>
      <c r="FY25" s="34">
        <v>3.6999999999999998E-2</v>
      </c>
      <c r="FZ25" s="34">
        <v>4.2000000000000003E-2</v>
      </c>
      <c r="GA25" s="34">
        <v>4.1000000000000002E-2</v>
      </c>
      <c r="GB25" s="34">
        <v>1.2999999999999999E-2</v>
      </c>
      <c r="GC25" s="34">
        <v>0.01</v>
      </c>
      <c r="GD25" s="34">
        <v>0.01</v>
      </c>
      <c r="GE25" s="34">
        <v>1.4999999999999999E-2</v>
      </c>
      <c r="GF25" s="3">
        <v>0.2</v>
      </c>
      <c r="GG25" s="3">
        <v>0.2</v>
      </c>
      <c r="GH25" s="23" t="s">
        <v>19</v>
      </c>
      <c r="GI25" s="23">
        <v>0.25</v>
      </c>
      <c r="GJ25" s="23">
        <v>0.02</v>
      </c>
      <c r="GK25" s="23">
        <v>0.04</v>
      </c>
      <c r="GL25" s="36">
        <v>7.3999999999999996E-2</v>
      </c>
      <c r="GM25" s="37">
        <f t="shared" si="146"/>
        <v>1.5810810810810811</v>
      </c>
      <c r="GN25" s="37">
        <f t="shared" si="124"/>
        <v>0.29729729729729731</v>
      </c>
      <c r="GO25" s="37">
        <f t="shared" si="125"/>
        <v>0.24324324324324323</v>
      </c>
      <c r="GP25" s="37">
        <f t="shared" si="126"/>
        <v>0.5</v>
      </c>
      <c r="GQ25" s="37">
        <f t="shared" si="127"/>
        <v>0.5</v>
      </c>
      <c r="GR25" s="37">
        <f t="shared" si="128"/>
        <v>0.56756756756756765</v>
      </c>
      <c r="GS25" s="37">
        <f t="shared" si="129"/>
        <v>0.55405405405405406</v>
      </c>
      <c r="GT25" s="37">
        <f t="shared" si="130"/>
        <v>0.17567567567567569</v>
      </c>
      <c r="GU25" s="37">
        <f t="shared" si="131"/>
        <v>0.13513513513513514</v>
      </c>
      <c r="GV25" s="37">
        <f t="shared" si="132"/>
        <v>0.13513513513513514</v>
      </c>
      <c r="GW25" s="37">
        <f t="shared" si="133"/>
        <v>0.20270270270270271</v>
      </c>
      <c r="GX25" s="37">
        <f>GF25/GL25</f>
        <v>2.7027027027027031</v>
      </c>
      <c r="GY25" s="37">
        <f t="shared" si="156"/>
        <v>2.7027027027027031</v>
      </c>
      <c r="GZ25" s="37">
        <f t="shared" si="134"/>
        <v>3.3783783783783785</v>
      </c>
      <c r="HA25" s="50">
        <f t="shared" si="157"/>
        <v>3.3783783783783785</v>
      </c>
      <c r="HB25" s="50">
        <f t="shared" si="135"/>
        <v>0.27027027027027029</v>
      </c>
      <c r="HC25" s="50">
        <f t="shared" si="136"/>
        <v>0.54054054054054057</v>
      </c>
      <c r="HD25" s="23" t="s">
        <v>19</v>
      </c>
      <c r="HE25" s="36">
        <v>7.3999999999999996E-2</v>
      </c>
      <c r="HG25" s="3">
        <f t="shared" si="75"/>
        <v>6.3513513513513509</v>
      </c>
      <c r="HH25" s="3">
        <f t="shared" si="76"/>
        <v>6.3513513513513509</v>
      </c>
      <c r="HI25" s="3">
        <f t="shared" si="77"/>
        <v>7.1621621621621632</v>
      </c>
      <c r="HJ25" s="3">
        <f t="shared" si="77"/>
        <v>1.8000000000000003</v>
      </c>
      <c r="HK25" s="3">
        <f t="shared" si="77"/>
        <v>0.14059999999999997</v>
      </c>
      <c r="HL25" s="3">
        <f t="shared" si="77"/>
        <v>1.5869565217391304</v>
      </c>
      <c r="HM25" s="3">
        <f t="shared" si="77"/>
        <v>1.5319148936170213</v>
      </c>
      <c r="HN25" s="3">
        <f t="shared" si="77"/>
        <v>0.90566037735849048</v>
      </c>
      <c r="HO25" s="3">
        <f t="shared" si="77"/>
        <v>1.037037037037037</v>
      </c>
      <c r="HP25" s="3">
        <f t="shared" si="77"/>
        <v>1</v>
      </c>
      <c r="HQ25" s="3">
        <f t="shared" si="77"/>
        <v>0.64383561643835618</v>
      </c>
      <c r="HR25" s="3">
        <f t="shared" si="78"/>
        <v>0.625</v>
      </c>
      <c r="HS25" s="3">
        <f t="shared" si="79"/>
        <v>0.91666666666666674</v>
      </c>
      <c r="HT25" s="3">
        <f t="shared" si="80"/>
        <v>0.9464285714285714</v>
      </c>
      <c r="HU25" s="3">
        <f t="shared" si="81"/>
        <v>1.2631578947368423</v>
      </c>
      <c r="HV25" s="36">
        <v>7.3999999999999996E-2</v>
      </c>
      <c r="HW25" s="56"/>
      <c r="HX25" s="23" t="s">
        <v>19</v>
      </c>
      <c r="HZ25" s="63">
        <v>0.1698268375852342</v>
      </c>
      <c r="IA25" s="63">
        <v>0.36017088725181201</v>
      </c>
      <c r="IB25" s="63">
        <v>0.40421565997312914</v>
      </c>
      <c r="IC25" s="63">
        <v>0.26855279050497</v>
      </c>
      <c r="ID25" s="63">
        <v>0.12718479757852083</v>
      </c>
      <c r="IE25" s="63">
        <v>0.17040439288737047</v>
      </c>
      <c r="IF25" s="63">
        <v>0.23065286382200115</v>
      </c>
      <c r="IG25" s="63">
        <v>0.17021238146442921</v>
      </c>
      <c r="IH25" s="63">
        <v>0.24647337909727943</v>
      </c>
      <c r="II25" s="63">
        <v>0.1265888591688297</v>
      </c>
      <c r="IJ25" s="63">
        <v>0.17100255261911143</v>
      </c>
      <c r="IK25" s="63">
        <v>0.17600226990837756</v>
      </c>
      <c r="IL25" s="63">
        <v>8.8474672429824028E-2</v>
      </c>
      <c r="IM25" s="63">
        <v>0.19348850253374372</v>
      </c>
      <c r="IN25" s="63">
        <v>5.8577331174112686E-2</v>
      </c>
      <c r="IO25" s="63">
        <v>0.18210606079146091</v>
      </c>
      <c r="IP25" s="63">
        <v>0.20099734874511993</v>
      </c>
      <c r="IQ25" s="63">
        <v>0.26311505889889925</v>
      </c>
      <c r="IR25" s="63">
        <v>0.13892293406776682</v>
      </c>
      <c r="IS25" s="63">
        <v>0.25586118285513104</v>
      </c>
      <c r="IT25" s="63">
        <v>0.20141139952039314</v>
      </c>
      <c r="IU25" s="63">
        <v>0.12231512391854261</v>
      </c>
      <c r="IV25" s="63"/>
      <c r="IW25" s="67">
        <v>2.9859353703917391E-2</v>
      </c>
      <c r="IX25" s="67">
        <v>1.3144350188041679E-2</v>
      </c>
      <c r="IY25" s="67">
        <v>8.1027947083005938E-2</v>
      </c>
      <c r="JA25" s="63">
        <v>7.0122886461389686E-2</v>
      </c>
      <c r="JB25" s="63">
        <v>5.8749435692664428E-2</v>
      </c>
      <c r="JC25" s="63">
        <v>5.4949717225168664E-2</v>
      </c>
      <c r="JD25" s="63">
        <v>5.9618277086280917E-2</v>
      </c>
      <c r="JE25" s="63">
        <v>4.8460091970089741E-2</v>
      </c>
      <c r="JF25" s="63">
        <v>7.0081256905411574E-2</v>
      </c>
      <c r="JG25" s="63">
        <v>6.3613973341045099E-2</v>
      </c>
      <c r="JH25" s="63">
        <v>0.1323835677050226</v>
      </c>
      <c r="JI25" s="63">
        <v>0.10827200077091813</v>
      </c>
      <c r="JJ25" s="63">
        <v>0.12325781170823626</v>
      </c>
      <c r="JK25" s="63">
        <v>0.1138660571052519</v>
      </c>
      <c r="JL25" s="63">
        <v>0.11180766572737556</v>
      </c>
      <c r="JM25" s="63">
        <v>0.1362882609270572</v>
      </c>
      <c r="JN25" s="63">
        <v>0.1629781134281009</v>
      </c>
      <c r="JO25" s="63">
        <v>0.1270031161340513</v>
      </c>
      <c r="JP25" s="63">
        <v>0.14545760577102329</v>
      </c>
      <c r="JQ25" s="63">
        <v>0.13458539719655485</v>
      </c>
      <c r="JS25" s="69"/>
      <c r="JT25" s="69"/>
      <c r="JV25" s="73">
        <f t="shared" si="82"/>
        <v>2.2949572646653271</v>
      </c>
      <c r="JW25" s="73">
        <f t="shared" si="83"/>
        <v>4.8671741520515139</v>
      </c>
      <c r="JX25" s="73">
        <f t="shared" si="84"/>
        <v>5.4623737834206647</v>
      </c>
      <c r="JY25" s="73">
        <f t="shared" si="85"/>
        <v>3.6290917635806759</v>
      </c>
      <c r="JZ25" s="73">
        <f t="shared" si="86"/>
        <v>1.7187134807908222</v>
      </c>
      <c r="KA25" s="73">
        <f t="shared" si="87"/>
        <v>2.3027620660455472</v>
      </c>
      <c r="KB25" s="73">
        <f t="shared" si="88"/>
        <v>3.1169305921892048</v>
      </c>
      <c r="KC25" s="73">
        <f t="shared" si="89"/>
        <v>2.3001673170868813</v>
      </c>
      <c r="KD25" s="73">
        <f t="shared" si="90"/>
        <v>3.3307213391524249</v>
      </c>
      <c r="KE25" s="73">
        <f t="shared" si="91"/>
        <v>1.7106602590382392</v>
      </c>
      <c r="KF25" s="73">
        <f t="shared" si="92"/>
        <v>2.3108453056636682</v>
      </c>
      <c r="KG25" s="73">
        <f t="shared" si="93"/>
        <v>2.378409052815913</v>
      </c>
      <c r="KH25" s="73">
        <f t="shared" si="94"/>
        <v>1.1956036814841084</v>
      </c>
      <c r="KI25" s="73">
        <f t="shared" si="95"/>
        <v>2.6147094936992397</v>
      </c>
      <c r="KJ25" s="73">
        <f t="shared" si="96"/>
        <v>0.79158555640692818</v>
      </c>
      <c r="KK25" s="73">
        <f t="shared" si="97"/>
        <v>2.4608927133981204</v>
      </c>
      <c r="KL25" s="73">
        <f t="shared" si="98"/>
        <v>2.7161803884475666</v>
      </c>
      <c r="KM25" s="73">
        <f t="shared" si="99"/>
        <v>3.555608904039179</v>
      </c>
      <c r="KN25" s="73">
        <f t="shared" si="100"/>
        <v>1.8773369468617138</v>
      </c>
      <c r="KO25" s="73">
        <f t="shared" si="101"/>
        <v>3.4575835520963656</v>
      </c>
      <c r="KP25" s="73">
        <f t="shared" si="102"/>
        <v>2.7217756691945021</v>
      </c>
      <c r="KQ25" s="73">
        <f t="shared" si="103"/>
        <v>1.6529070799803056</v>
      </c>
      <c r="KS25" s="66">
        <f t="shared" si="104"/>
        <v>0.40350477978266747</v>
      </c>
      <c r="KT25" s="66">
        <f t="shared" si="105"/>
        <v>0.17762635389245512</v>
      </c>
      <c r="KU25" s="66">
        <f t="shared" si="106"/>
        <v>1.0949722578784586</v>
      </c>
      <c r="KW25" s="32">
        <f t="shared" si="107"/>
        <v>0.94760657380256341</v>
      </c>
      <c r="KX25" s="32">
        <f t="shared" si="108"/>
        <v>0.79391129314411391</v>
      </c>
      <c r="KY25" s="32">
        <f t="shared" si="109"/>
        <v>0.74256374628606303</v>
      </c>
      <c r="KZ25" s="32">
        <f t="shared" si="110"/>
        <v>0.8056523930578503</v>
      </c>
      <c r="LA25" s="32">
        <f t="shared" si="111"/>
        <v>0.65486610770391551</v>
      </c>
      <c r="LB25" s="32">
        <f t="shared" si="112"/>
        <v>0.94704401223529155</v>
      </c>
      <c r="LC25" s="32">
        <f t="shared" si="113"/>
        <v>0.8596482883925014</v>
      </c>
      <c r="LD25" s="32">
        <f t="shared" si="114"/>
        <v>1.7889671311489541</v>
      </c>
      <c r="LE25" s="32">
        <f t="shared" si="115"/>
        <v>1.4631351455529478</v>
      </c>
      <c r="LF25" s="32">
        <f t="shared" si="116"/>
        <v>1.665646104165355</v>
      </c>
      <c r="LG25" s="32">
        <f t="shared" si="117"/>
        <v>1.5387305014223229</v>
      </c>
      <c r="LH25" s="32">
        <f t="shared" si="118"/>
        <v>1.5109144017212914</v>
      </c>
      <c r="LI25" s="32">
        <f t="shared" si="119"/>
        <v>1.8417332557710433</v>
      </c>
      <c r="LJ25" s="32">
        <f t="shared" si="120"/>
        <v>2.2024069382175799</v>
      </c>
      <c r="LK25" s="32">
        <f t="shared" si="121"/>
        <v>1.7162583261358284</v>
      </c>
      <c r="LL25" s="32">
        <f t="shared" si="122"/>
        <v>1.9656433212300446</v>
      </c>
      <c r="LM25" s="32">
        <f t="shared" si="123"/>
        <v>1.8187215837372279</v>
      </c>
    </row>
    <row r="41" spans="81:225" x14ac:dyDescent="0.3">
      <c r="CC41" s="60"/>
    </row>
    <row r="44" spans="81:225" x14ac:dyDescent="0.3">
      <c r="HD44" s="16"/>
      <c r="HQ44" s="16"/>
    </row>
    <row r="45" spans="81:225" x14ac:dyDescent="0.3">
      <c r="HD45" s="16"/>
      <c r="HQ45" s="16"/>
    </row>
  </sheetData>
  <phoneticPr fontId="37" type="noConversion"/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O81"/>
  <sheetViews>
    <sheetView zoomScale="150" workbookViewId="0">
      <selection activeCell="G39" sqref="G39"/>
    </sheetView>
  </sheetViews>
  <sheetFormatPr defaultColWidth="8.81640625" defaultRowHeight="12.6" x14ac:dyDescent="0.2"/>
  <cols>
    <col min="1" max="1" width="9" customWidth="1"/>
    <col min="2" max="2" width="12.36328125" style="48" customWidth="1"/>
    <col min="3" max="3" width="8.81640625" style="9"/>
    <col min="4" max="4" width="21.453125" style="9" customWidth="1"/>
    <col min="5" max="6" width="33.6328125" style="9" customWidth="1"/>
    <col min="7" max="7" width="45.81640625" style="9" customWidth="1"/>
  </cols>
  <sheetData>
    <row r="1" spans="1:15" ht="13.2" thickBot="1" x14ac:dyDescent="0.25">
      <c r="B1" s="48" t="s">
        <v>213</v>
      </c>
      <c r="C1" s="42" t="s">
        <v>198</v>
      </c>
      <c r="D1" s="42" t="s">
        <v>200</v>
      </c>
      <c r="E1" s="42" t="s">
        <v>225</v>
      </c>
      <c r="F1" s="42" t="s">
        <v>231</v>
      </c>
      <c r="G1" s="42" t="s">
        <v>232</v>
      </c>
      <c r="H1" s="30"/>
    </row>
    <row r="2" spans="1:15" s="40" customFormat="1" ht="16.2" thickBot="1" x14ac:dyDescent="0.35">
      <c r="A2" s="39" t="s">
        <v>0</v>
      </c>
      <c r="B2" s="49"/>
      <c r="C2" s="43" t="s">
        <v>199</v>
      </c>
      <c r="D2" s="43"/>
      <c r="E2" s="43"/>
      <c r="F2" s="43"/>
      <c r="G2" s="43"/>
      <c r="H2" s="40" t="s">
        <v>228</v>
      </c>
      <c r="I2" s="40" t="s">
        <v>229</v>
      </c>
      <c r="J2" s="3" t="s">
        <v>214</v>
      </c>
      <c r="K2" s="3" t="s">
        <v>215</v>
      </c>
      <c r="L2" s="54" t="s">
        <v>228</v>
      </c>
      <c r="M2" s="54" t="s">
        <v>229</v>
      </c>
      <c r="N2" s="56" t="s">
        <v>214</v>
      </c>
      <c r="O2" s="56" t="s">
        <v>215</v>
      </c>
    </row>
    <row r="3" spans="1:15" ht="15.6" x14ac:dyDescent="0.3">
      <c r="A3" s="41" t="s">
        <v>12</v>
      </c>
      <c r="B3" s="49">
        <v>0.23699999999999999</v>
      </c>
      <c r="C3" s="43">
        <v>0.31</v>
      </c>
      <c r="D3" s="43">
        <v>37</v>
      </c>
      <c r="E3" s="43">
        <v>0.68700000000000006</v>
      </c>
      <c r="F3" s="43">
        <f>D3/C3</f>
        <v>119.35483870967742</v>
      </c>
      <c r="G3" s="43">
        <f>D3/E3</f>
        <v>53.857350800582239</v>
      </c>
      <c r="H3">
        <v>64.75</v>
      </c>
      <c r="I3">
        <v>43.92</v>
      </c>
      <c r="J3" s="4">
        <v>1.6</v>
      </c>
      <c r="K3" s="4">
        <v>1.4</v>
      </c>
      <c r="L3" s="53">
        <f>H3/C3</f>
        <v>208.87096774193549</v>
      </c>
      <c r="M3" s="53">
        <f>I3/C3</f>
        <v>141.67741935483872</v>
      </c>
      <c r="N3" s="52">
        <f>J3/C3</f>
        <v>5.1612903225806459</v>
      </c>
      <c r="O3" s="52">
        <f>K3/C3</f>
        <v>4.5161290322580641</v>
      </c>
    </row>
    <row r="4" spans="1:15" ht="15.6" x14ac:dyDescent="0.3">
      <c r="A4" s="41" t="s">
        <v>13</v>
      </c>
      <c r="B4" s="49">
        <v>0.61199999999999999</v>
      </c>
      <c r="C4" s="43">
        <v>0.80800000000000005</v>
      </c>
      <c r="D4" s="43">
        <v>80</v>
      </c>
      <c r="E4" s="43">
        <v>1.7749999999999999</v>
      </c>
      <c r="F4" s="43">
        <f t="shared" ref="F4:F16" si="0">D4/C4</f>
        <v>99.009900990098998</v>
      </c>
      <c r="G4" s="43">
        <f t="shared" ref="G4:G16" si="1">D4/E4</f>
        <v>45.070422535211272</v>
      </c>
      <c r="H4">
        <v>117.7</v>
      </c>
      <c r="I4">
        <v>82.55</v>
      </c>
      <c r="J4" s="4">
        <v>3.1</v>
      </c>
      <c r="K4" s="4">
        <v>2.5</v>
      </c>
      <c r="L4" s="53">
        <f t="shared" ref="L4:L16" si="2">H4/C4</f>
        <v>145.66831683168317</v>
      </c>
      <c r="M4" s="53">
        <f t="shared" ref="M4:M16" si="3">I4/C4</f>
        <v>102.1658415841584</v>
      </c>
      <c r="N4" s="52">
        <f t="shared" ref="N4:N16" si="4">J4/C4</f>
        <v>3.8366336633663365</v>
      </c>
      <c r="O4" s="52">
        <f t="shared" ref="O4:O16" si="5">K4/C4</f>
        <v>3.0940594059405937</v>
      </c>
    </row>
    <row r="5" spans="1:15" ht="15.6" x14ac:dyDescent="0.3">
      <c r="A5" s="41" t="s">
        <v>193</v>
      </c>
      <c r="B5" s="49">
        <v>9.5000000000000001E-2</v>
      </c>
      <c r="C5" s="44">
        <v>0.122</v>
      </c>
      <c r="D5" s="44">
        <v>9.6999999999999993</v>
      </c>
      <c r="E5" s="44">
        <v>0.27600000000000002</v>
      </c>
      <c r="F5" s="43">
        <f t="shared" si="0"/>
        <v>79.508196721311478</v>
      </c>
      <c r="G5" s="43">
        <f t="shared" si="1"/>
        <v>35.144927536231876</v>
      </c>
      <c r="H5">
        <v>13.55</v>
      </c>
      <c r="I5">
        <v>9.75</v>
      </c>
      <c r="J5" s="4">
        <v>0.4</v>
      </c>
      <c r="K5" s="4">
        <v>0.33</v>
      </c>
      <c r="L5" s="53">
        <f t="shared" si="2"/>
        <v>111.06557377049181</v>
      </c>
      <c r="M5" s="53">
        <f t="shared" si="3"/>
        <v>79.918032786885249</v>
      </c>
      <c r="N5" s="52">
        <f t="shared" si="4"/>
        <v>3.278688524590164</v>
      </c>
      <c r="O5" s="52">
        <f t="shared" si="5"/>
        <v>2.7049180327868854</v>
      </c>
    </row>
    <row r="6" spans="1:15" ht="15.6" x14ac:dyDescent="0.3">
      <c r="A6" s="41" t="s">
        <v>14</v>
      </c>
      <c r="B6" s="49">
        <v>0.46700000000000003</v>
      </c>
      <c r="C6" s="43">
        <v>0.6</v>
      </c>
      <c r="D6" s="43">
        <v>38.5</v>
      </c>
      <c r="E6" s="43">
        <v>1.3540000000000001</v>
      </c>
      <c r="F6" s="43">
        <f t="shared" si="0"/>
        <v>64.166666666666671</v>
      </c>
      <c r="G6" s="43">
        <f t="shared" si="1"/>
        <v>28.434268833087149</v>
      </c>
      <c r="H6">
        <v>52.31</v>
      </c>
      <c r="I6">
        <v>37.6</v>
      </c>
      <c r="J6" s="4">
        <v>1.8</v>
      </c>
      <c r="K6" s="4">
        <v>1.7</v>
      </c>
      <c r="L6" s="53">
        <f t="shared" si="2"/>
        <v>87.183333333333337</v>
      </c>
      <c r="M6" s="53">
        <f t="shared" si="3"/>
        <v>62.666666666666671</v>
      </c>
      <c r="N6" s="52">
        <f t="shared" si="4"/>
        <v>3</v>
      </c>
      <c r="O6" s="52">
        <f t="shared" si="5"/>
        <v>2.8333333333333335</v>
      </c>
    </row>
    <row r="7" spans="1:15" ht="15.6" x14ac:dyDescent="0.3">
      <c r="A7" s="41" t="s">
        <v>15</v>
      </c>
      <c r="B7" s="49">
        <v>0.153</v>
      </c>
      <c r="C7" s="43">
        <v>0.19500000000000001</v>
      </c>
      <c r="D7" s="43">
        <v>10</v>
      </c>
      <c r="E7" s="43">
        <v>0.44400000000000001</v>
      </c>
      <c r="F7" s="43">
        <f t="shared" si="0"/>
        <v>51.282051282051277</v>
      </c>
      <c r="G7" s="43">
        <f t="shared" si="1"/>
        <v>22.522522522522522</v>
      </c>
      <c r="H7">
        <v>8.9499999999999993</v>
      </c>
      <c r="I7">
        <v>7.23</v>
      </c>
      <c r="J7" s="4">
        <v>0.3</v>
      </c>
      <c r="K7" s="4">
        <v>0.4</v>
      </c>
      <c r="L7" s="53">
        <f t="shared" si="2"/>
        <v>45.897435897435891</v>
      </c>
      <c r="M7" s="53">
        <f t="shared" si="3"/>
        <v>37.07692307692308</v>
      </c>
      <c r="N7" s="52">
        <f t="shared" si="4"/>
        <v>1.5384615384615383</v>
      </c>
      <c r="O7" s="52">
        <f t="shared" si="5"/>
        <v>2.0512820512820515</v>
      </c>
    </row>
    <row r="8" spans="1:15" ht="15.6" x14ac:dyDescent="0.3">
      <c r="A8" s="41" t="s">
        <v>16</v>
      </c>
      <c r="B8" s="49">
        <v>5.8000000000000003E-2</v>
      </c>
      <c r="C8" s="43">
        <v>7.3499999999999996E-2</v>
      </c>
      <c r="D8" s="43">
        <v>3</v>
      </c>
      <c r="E8" s="43">
        <v>0.16800000000000001</v>
      </c>
      <c r="F8" s="43">
        <f t="shared" si="0"/>
        <v>40.816326530612244</v>
      </c>
      <c r="G8" s="43">
        <f t="shared" si="1"/>
        <v>17.857142857142858</v>
      </c>
      <c r="H8">
        <v>2.75</v>
      </c>
      <c r="I8">
        <v>2.21</v>
      </c>
      <c r="J8" s="4">
        <v>0.13</v>
      </c>
      <c r="K8" s="4">
        <v>0.13</v>
      </c>
      <c r="L8" s="53">
        <f t="shared" si="2"/>
        <v>37.414965986394563</v>
      </c>
      <c r="M8" s="53">
        <f t="shared" si="3"/>
        <v>30.068027210884356</v>
      </c>
      <c r="N8" s="52">
        <f t="shared" si="4"/>
        <v>1.7687074829931975</v>
      </c>
      <c r="O8" s="52">
        <f t="shared" si="5"/>
        <v>1.7687074829931975</v>
      </c>
    </row>
    <row r="9" spans="1:15" ht="15.6" x14ac:dyDescent="0.3">
      <c r="A9" s="41" t="s">
        <v>194</v>
      </c>
      <c r="B9" s="49">
        <v>0.20549999999999999</v>
      </c>
      <c r="C9" s="43">
        <v>0.25900000000000001</v>
      </c>
      <c r="D9" s="43">
        <v>7.62</v>
      </c>
      <c r="E9" s="43">
        <v>0.59599999999999997</v>
      </c>
      <c r="F9" s="43">
        <f t="shared" si="0"/>
        <v>29.420849420849422</v>
      </c>
      <c r="G9" s="43">
        <f t="shared" si="1"/>
        <v>12.785234899328859</v>
      </c>
      <c r="H9">
        <v>7.52</v>
      </c>
      <c r="I9">
        <v>6.58</v>
      </c>
      <c r="J9" s="4">
        <v>0.33</v>
      </c>
      <c r="K9" s="4">
        <v>0.34</v>
      </c>
      <c r="L9" s="53">
        <f t="shared" si="2"/>
        <v>29.034749034749034</v>
      </c>
      <c r="M9" s="53">
        <f t="shared" si="3"/>
        <v>25.405405405405403</v>
      </c>
      <c r="N9" s="52">
        <f t="shared" si="4"/>
        <v>1.2741312741312742</v>
      </c>
      <c r="O9" s="52">
        <f t="shared" si="5"/>
        <v>1.3127413127413128</v>
      </c>
    </row>
    <row r="10" spans="1:15" ht="15.6" x14ac:dyDescent="0.3">
      <c r="A10" s="41" t="s">
        <v>17</v>
      </c>
      <c r="B10" s="49">
        <v>3.7400000000000003E-2</v>
      </c>
      <c r="C10" s="43">
        <v>4.7399999999999998E-2</v>
      </c>
      <c r="D10" s="43">
        <v>1.05</v>
      </c>
      <c r="E10" s="43">
        <v>0.108</v>
      </c>
      <c r="F10" s="43">
        <f t="shared" si="0"/>
        <v>22.151898734177216</v>
      </c>
      <c r="G10" s="43">
        <f t="shared" si="1"/>
        <v>9.7222222222222232</v>
      </c>
      <c r="H10">
        <v>1.03</v>
      </c>
      <c r="I10">
        <v>0.87</v>
      </c>
      <c r="J10" s="4">
        <v>0.05</v>
      </c>
      <c r="K10" s="4">
        <v>0.05</v>
      </c>
      <c r="L10" s="53">
        <f t="shared" si="2"/>
        <v>21.729957805907176</v>
      </c>
      <c r="M10" s="53">
        <f t="shared" si="3"/>
        <v>18.354430379746837</v>
      </c>
      <c r="N10" s="52">
        <f t="shared" si="4"/>
        <v>1.0548523206751057</v>
      </c>
      <c r="O10" s="52">
        <f t="shared" si="5"/>
        <v>1.0548523206751057</v>
      </c>
    </row>
    <row r="11" spans="1:15" ht="15.6" x14ac:dyDescent="0.3">
      <c r="A11" s="41" t="s">
        <v>195</v>
      </c>
      <c r="B11" s="49">
        <v>0.254</v>
      </c>
      <c r="C11" s="43">
        <v>0.32200000000000001</v>
      </c>
      <c r="D11" s="43">
        <v>5.6</v>
      </c>
      <c r="E11" s="43">
        <v>0.73699999999999999</v>
      </c>
      <c r="F11" s="43">
        <f t="shared" si="0"/>
        <v>17.391304347826086</v>
      </c>
      <c r="G11" s="43">
        <f t="shared" si="1"/>
        <v>7.5983717774762551</v>
      </c>
      <c r="H11">
        <v>5.28</v>
      </c>
      <c r="I11">
        <v>4.62</v>
      </c>
      <c r="J11" s="4">
        <v>0.34</v>
      </c>
      <c r="K11" s="4">
        <v>0.28000000000000003</v>
      </c>
      <c r="L11" s="53">
        <f t="shared" si="2"/>
        <v>16.397515527950311</v>
      </c>
      <c r="M11" s="53">
        <f t="shared" si="3"/>
        <v>14.347826086956522</v>
      </c>
      <c r="N11" s="52">
        <f t="shared" si="4"/>
        <v>1.0559006211180124</v>
      </c>
      <c r="O11" s="52">
        <f t="shared" si="5"/>
        <v>0.86956521739130443</v>
      </c>
    </row>
    <row r="12" spans="1:15" ht="15.6" x14ac:dyDescent="0.3">
      <c r="A12" s="41" t="s">
        <v>196</v>
      </c>
      <c r="B12" s="49">
        <v>5.6599999999999998E-2</v>
      </c>
      <c r="C12" s="43">
        <v>7.1800000000000003E-2</v>
      </c>
      <c r="D12" s="43">
        <v>1.06</v>
      </c>
      <c r="E12" s="43">
        <v>0.16400000000000001</v>
      </c>
      <c r="F12" s="43">
        <f t="shared" si="0"/>
        <v>14.763231197771589</v>
      </c>
      <c r="G12" s="43">
        <f t="shared" si="1"/>
        <v>6.4634146341463419</v>
      </c>
      <c r="H12">
        <v>1.07</v>
      </c>
      <c r="I12">
        <v>0.91</v>
      </c>
      <c r="J12" s="4">
        <v>7.0000000000000007E-2</v>
      </c>
      <c r="K12" s="4">
        <v>0.06</v>
      </c>
      <c r="L12" s="53">
        <f t="shared" si="2"/>
        <v>14.902506963788301</v>
      </c>
      <c r="M12" s="53">
        <f t="shared" si="3"/>
        <v>12.674094707520892</v>
      </c>
      <c r="N12" s="52">
        <f t="shared" si="4"/>
        <v>0.97493036211699169</v>
      </c>
      <c r="O12" s="52">
        <f t="shared" si="5"/>
        <v>0.83565459610027848</v>
      </c>
    </row>
    <row r="13" spans="1:15" ht="15.6" x14ac:dyDescent="0.3">
      <c r="A13" s="41" t="s">
        <v>197</v>
      </c>
      <c r="B13" s="49">
        <v>0.16550000000000001</v>
      </c>
      <c r="C13" s="43">
        <v>0.21</v>
      </c>
      <c r="D13" s="43">
        <v>2.62</v>
      </c>
      <c r="E13" s="43">
        <v>0.48</v>
      </c>
      <c r="F13" s="43">
        <f t="shared" si="0"/>
        <v>12.476190476190476</v>
      </c>
      <c r="G13" s="43">
        <f t="shared" si="1"/>
        <v>5.4583333333333339</v>
      </c>
      <c r="H13">
        <v>2.64</v>
      </c>
      <c r="I13">
        <v>2.37</v>
      </c>
      <c r="J13" s="4">
        <v>0.17</v>
      </c>
      <c r="K13" s="4">
        <v>0.16</v>
      </c>
      <c r="L13" s="53">
        <f t="shared" si="2"/>
        <v>12.571428571428573</v>
      </c>
      <c r="M13" s="53">
        <f t="shared" si="3"/>
        <v>11.285714285714286</v>
      </c>
      <c r="N13" s="52">
        <f t="shared" si="4"/>
        <v>0.80952380952380965</v>
      </c>
      <c r="O13" s="52">
        <f t="shared" si="5"/>
        <v>0.76190476190476197</v>
      </c>
    </row>
    <row r="14" spans="1:15" ht="15.6" x14ac:dyDescent="0.3">
      <c r="A14" s="41" t="s">
        <v>212</v>
      </c>
      <c r="B14" s="49">
        <v>2.5499999999999998E-2</v>
      </c>
      <c r="C14" s="43">
        <v>3.2399999999999998E-2</v>
      </c>
      <c r="D14" s="43">
        <v>0.35</v>
      </c>
      <c r="E14" s="43">
        <v>7.3999999999999996E-2</v>
      </c>
      <c r="F14" s="43">
        <f t="shared" si="0"/>
        <v>10.802469135802468</v>
      </c>
      <c r="G14" s="43">
        <f t="shared" si="1"/>
        <v>4.7297297297297298</v>
      </c>
      <c r="H14">
        <v>0.39</v>
      </c>
      <c r="I14">
        <v>0.35</v>
      </c>
      <c r="J14" s="4">
        <v>0.05</v>
      </c>
      <c r="K14" s="4">
        <v>0.05</v>
      </c>
      <c r="L14" s="53">
        <f t="shared" si="2"/>
        <v>12.037037037037038</v>
      </c>
      <c r="M14" s="53">
        <f t="shared" si="3"/>
        <v>10.802469135802468</v>
      </c>
      <c r="N14" s="52">
        <f t="shared" si="4"/>
        <v>1.5432098765432101</v>
      </c>
      <c r="O14" s="52">
        <f t="shared" si="5"/>
        <v>1.5432098765432101</v>
      </c>
    </row>
    <row r="15" spans="1:15" ht="15.6" x14ac:dyDescent="0.3">
      <c r="A15" s="41" t="s">
        <v>18</v>
      </c>
      <c r="B15" s="49">
        <v>0.17</v>
      </c>
      <c r="C15" s="43">
        <v>0.20899999999999999</v>
      </c>
      <c r="D15" s="43">
        <v>2.16</v>
      </c>
      <c r="E15" s="43">
        <v>0.49299999999999999</v>
      </c>
      <c r="F15" s="43">
        <f t="shared" si="0"/>
        <v>10.334928229665072</v>
      </c>
      <c r="G15" s="43">
        <f t="shared" si="1"/>
        <v>4.3813387423935097</v>
      </c>
      <c r="H15">
        <v>2.5099999999999998</v>
      </c>
      <c r="I15">
        <v>2.1800000000000002</v>
      </c>
      <c r="J15" s="4">
        <v>0.24</v>
      </c>
      <c r="K15" s="4">
        <v>0.22</v>
      </c>
      <c r="L15" s="53">
        <f t="shared" si="2"/>
        <v>12.009569377990431</v>
      </c>
      <c r="M15" s="53">
        <f t="shared" si="3"/>
        <v>10.43062200956938</v>
      </c>
      <c r="N15" s="52">
        <f t="shared" si="4"/>
        <v>1.1483253588516746</v>
      </c>
      <c r="O15" s="52">
        <f t="shared" si="5"/>
        <v>1.0526315789473684</v>
      </c>
    </row>
    <row r="16" spans="1:15" ht="15.6" x14ac:dyDescent="0.3">
      <c r="A16" s="41" t="s">
        <v>19</v>
      </c>
      <c r="B16" s="49">
        <v>2.5399999999999999E-2</v>
      </c>
      <c r="C16" s="43">
        <v>3.2199999999999999E-2</v>
      </c>
      <c r="D16" s="43">
        <v>0.3</v>
      </c>
      <c r="E16" s="43">
        <v>7.3999999999999996E-2</v>
      </c>
      <c r="F16" s="43">
        <f t="shared" si="0"/>
        <v>9.316770186335404</v>
      </c>
      <c r="G16" s="43">
        <f t="shared" si="1"/>
        <v>4.0540540540540544</v>
      </c>
      <c r="H16">
        <v>0.36</v>
      </c>
      <c r="I16">
        <v>0.32</v>
      </c>
      <c r="J16" s="4">
        <v>0.02</v>
      </c>
      <c r="K16" s="4">
        <v>0.04</v>
      </c>
      <c r="L16" s="53">
        <f t="shared" si="2"/>
        <v>11.180124223602483</v>
      </c>
      <c r="M16" s="53">
        <f t="shared" si="3"/>
        <v>9.937888198757765</v>
      </c>
      <c r="N16" s="52">
        <f t="shared" si="4"/>
        <v>0.62111801242236031</v>
      </c>
      <c r="O16" s="52">
        <f t="shared" si="5"/>
        <v>1.2422360248447206</v>
      </c>
    </row>
    <row r="18" spans="1:7" ht="15.6" x14ac:dyDescent="0.3">
      <c r="A18" s="51"/>
    </row>
    <row r="19" spans="1:7" x14ac:dyDescent="0.2">
      <c r="A19" s="40"/>
      <c r="B19" s="40"/>
      <c r="C19" s="40"/>
      <c r="D19"/>
      <c r="E19"/>
      <c r="F19"/>
      <c r="G19"/>
    </row>
    <row r="30" spans="1:7" x14ac:dyDescent="0.2">
      <c r="G30" s="9" t="s">
        <v>233</v>
      </c>
    </row>
    <row r="31" spans="1:7" x14ac:dyDescent="0.2">
      <c r="G31" s="9" t="s">
        <v>234</v>
      </c>
    </row>
    <row r="32" spans="1:7" x14ac:dyDescent="0.2">
      <c r="G32" s="9" t="s">
        <v>235</v>
      </c>
    </row>
    <row r="33" spans="7:7" x14ac:dyDescent="0.2">
      <c r="G33" s="9" t="s">
        <v>236</v>
      </c>
    </row>
    <row r="34" spans="7:7" x14ac:dyDescent="0.2">
      <c r="G34" s="9" t="s">
        <v>235</v>
      </c>
    </row>
    <row r="35" spans="7:7" x14ac:dyDescent="0.2">
      <c r="G35" s="9" t="s">
        <v>237</v>
      </c>
    </row>
    <row r="36" spans="7:7" x14ac:dyDescent="0.2">
      <c r="G36" s="9" t="s">
        <v>238</v>
      </c>
    </row>
    <row r="37" spans="7:7" x14ac:dyDescent="0.2">
      <c r="G37" s="9" t="s">
        <v>239</v>
      </c>
    </row>
    <row r="67" spans="1:1" ht="15.6" x14ac:dyDescent="0.3">
      <c r="A67" s="3"/>
    </row>
    <row r="68" spans="1:1" ht="15.6" x14ac:dyDescent="0.3">
      <c r="A68" s="23" t="s">
        <v>12</v>
      </c>
    </row>
    <row r="69" spans="1:1" ht="15.6" x14ac:dyDescent="0.3">
      <c r="A69" s="23" t="s">
        <v>13</v>
      </c>
    </row>
    <row r="70" spans="1:1" ht="15.6" x14ac:dyDescent="0.3">
      <c r="A70" s="23" t="s">
        <v>193</v>
      </c>
    </row>
    <row r="71" spans="1:1" ht="15.6" x14ac:dyDescent="0.3">
      <c r="A71" s="23" t="s">
        <v>14</v>
      </c>
    </row>
    <row r="72" spans="1:1" ht="15.6" x14ac:dyDescent="0.3">
      <c r="A72" s="23" t="s">
        <v>15</v>
      </c>
    </row>
    <row r="73" spans="1:1" ht="15.6" x14ac:dyDescent="0.3">
      <c r="A73" s="23" t="s">
        <v>16</v>
      </c>
    </row>
    <row r="74" spans="1:1" ht="15.6" x14ac:dyDescent="0.3">
      <c r="A74" s="23" t="s">
        <v>194</v>
      </c>
    </row>
    <row r="75" spans="1:1" ht="15.6" x14ac:dyDescent="0.3">
      <c r="A75" s="23" t="s">
        <v>17</v>
      </c>
    </row>
    <row r="76" spans="1:1" ht="15.6" x14ac:dyDescent="0.3">
      <c r="A76" s="23" t="s">
        <v>195</v>
      </c>
    </row>
    <row r="77" spans="1:1" ht="15.6" x14ac:dyDescent="0.3">
      <c r="A77" s="23" t="s">
        <v>196</v>
      </c>
    </row>
    <row r="78" spans="1:1" ht="15.6" x14ac:dyDescent="0.3">
      <c r="A78" s="23" t="s">
        <v>197</v>
      </c>
    </row>
    <row r="79" spans="1:1" ht="15.6" x14ac:dyDescent="0.3">
      <c r="A79" s="23" t="s">
        <v>212</v>
      </c>
    </row>
    <row r="80" spans="1:1" ht="15.6" x14ac:dyDescent="0.3">
      <c r="A80" s="23" t="s">
        <v>18</v>
      </c>
    </row>
    <row r="81" spans="1:1" ht="15.6" x14ac:dyDescent="0.3">
      <c r="A81" s="23" t="s">
        <v>19</v>
      </c>
    </row>
  </sheetData>
  <pageMargins left="0.7" right="0.7" top="0.75" bottom="0.75" header="0.3" footer="0.3"/>
  <pageSetup paperSize="9" orientation="portrait" verticalDpi="4294967293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b7fba16-83a7-4b2b-a98a-7aaaab31ea7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8D569A265D6A8540B78D2D62CE4E82C9" ma:contentTypeVersion="14" ma:contentTypeDescription="Yeni belge oluşturun." ma:contentTypeScope="" ma:versionID="434647cb36b38738187a3ab8a0f6b6c4">
  <xsd:schema xmlns:xsd="http://www.w3.org/2001/XMLSchema" xmlns:xs="http://www.w3.org/2001/XMLSchema" xmlns:p="http://schemas.microsoft.com/office/2006/metadata/properties" xmlns:ns3="1b7fba16-83a7-4b2b-a98a-7aaaab31ea7c" targetNamespace="http://schemas.microsoft.com/office/2006/metadata/properties" ma:root="true" ma:fieldsID="4ebedc98ef05400251ec87928a605404" ns3:_="">
    <xsd:import namespace="1b7fba16-83a7-4b2b-a98a-7aaaab31ea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fba16-83a7-4b2b-a98a-7aaaab31ea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F85464-57DA-4873-B218-A23B526421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26B778-A055-48E1-AA75-BEF2C2179411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1b7fba16-83a7-4b2b-a98a-7aaaab31ea7c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A55CA47-B457-470C-9BE3-385BFF704B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7fba16-83a7-4b2b-a98a-7aaaab31e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SDSU all data</vt:lpstr>
      <vt:lpstr>All &gt;6%MgO</vt:lpstr>
      <vt:lpstr>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furman</dc:creator>
  <cp:lastModifiedBy>BİLTAN KÜRKCÜOĞLU</cp:lastModifiedBy>
  <cp:lastPrinted>2012-02-20T08:39:34Z</cp:lastPrinted>
  <dcterms:created xsi:type="dcterms:W3CDTF">2010-07-20T13:42:35Z</dcterms:created>
  <dcterms:modified xsi:type="dcterms:W3CDTF">2023-12-11T11:26:18Z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0x0101008D569A265D6A8540B78D2D62CE4E82C9</vt:lpwstr>
  </property>
</Properties>
</file>