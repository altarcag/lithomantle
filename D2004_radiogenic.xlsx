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ltar\Desktop\project listhospheric mantle\"/>
    </mc:Choice>
  </mc:AlternateContent>
  <xr:revisionPtr revIDLastSave="0" documentId="13_ncr:1_{1DB4E277-5A7E-4C33-8B6B-13442AA7EE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H8" i="1"/>
  <c r="C8" i="1"/>
  <c r="B8" i="1"/>
  <c r="I7" i="1"/>
  <c r="H7" i="1"/>
  <c r="C7" i="1"/>
  <c r="B7" i="1"/>
</calcChain>
</file>

<file path=xl/sharedStrings.xml><?xml version="1.0" encoding="utf-8"?>
<sst xmlns="http://schemas.openxmlformats.org/spreadsheetml/2006/main" count="20" uniqueCount="20">
  <si>
    <t>Sample</t>
  </si>
  <si>
    <t>D2004-1</t>
  </si>
  <si>
    <t>D2004-3</t>
  </si>
  <si>
    <t>D2004-4</t>
  </si>
  <si>
    <t>D2004-5</t>
  </si>
  <si>
    <t>D2004-7</t>
  </si>
  <si>
    <t>D2004-8</t>
  </si>
  <si>
    <t>D2004-10</t>
  </si>
  <si>
    <t>D2004-11</t>
  </si>
  <si>
    <t>D2004-12</t>
  </si>
  <si>
    <t>D2004-13</t>
  </si>
  <si>
    <t>87Sr/86Sr</t>
  </si>
  <si>
    <t>143Nd/144Nd</t>
  </si>
  <si>
    <t>208Pb/204Pb</t>
  </si>
  <si>
    <t>207Pb/204Pb</t>
  </si>
  <si>
    <t>206Pb/204Pb</t>
  </si>
  <si>
    <t>207Pb/204Pb(NHRL)</t>
  </si>
  <si>
    <t>208Pb/204Pb(NHRL)</t>
  </si>
  <si>
    <t>176Hf/177Hf</t>
  </si>
  <si>
    <r>
      <rPr>
        <b/>
        <sz val="10"/>
        <rFont val="Symbol"/>
        <family val="1"/>
        <charset val="2"/>
      </rPr>
      <t>e</t>
    </r>
    <r>
      <rPr>
        <b/>
        <sz val="10"/>
        <rFont val="Arial"/>
        <family val="2"/>
        <charset val="162"/>
      </rPr>
      <t>Hf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</si>
</sst>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indexed="12"/>
      <name val="Arial"/>
      <family val="2"/>
    </font>
    <font>
      <b/>
      <sz val="9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  <charset val="162"/>
    </font>
    <font>
      <b/>
      <sz val="10"/>
      <name val="Symbol"/>
      <family val="1"/>
      <charset val="2"/>
    </font>
    <font>
      <b/>
      <sz val="10"/>
      <name val="Verdan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164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"/>
    </xf>
    <xf numFmtId="165" fontId="8" fillId="3" borderId="0" xfId="0" applyNumberFormat="1" applyFont="1" applyFill="1" applyAlignment="1">
      <alignment horizontal="left"/>
    </xf>
    <xf numFmtId="165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13" sqref="B13"/>
    </sheetView>
  </sheetViews>
  <sheetFormatPr defaultRowHeight="15" x14ac:dyDescent="0.25"/>
  <cols>
    <col min="1" max="1" width="18.8554687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5" t="s">
        <v>9</v>
      </c>
      <c r="K1" s="3" t="s">
        <v>10</v>
      </c>
    </row>
    <row r="2" spans="1:11" s="8" customFormat="1" ht="12.75" x14ac:dyDescent="0.2">
      <c r="A2" s="6" t="s">
        <v>11</v>
      </c>
      <c r="B2" s="7">
        <v>0.70365599999999995</v>
      </c>
      <c r="C2" s="7">
        <v>0.70368399999999998</v>
      </c>
      <c r="F2" s="9"/>
      <c r="G2" s="9"/>
      <c r="H2" s="7">
        <v>0.70394199999999996</v>
      </c>
      <c r="I2" s="7">
        <v>0.70390200000000003</v>
      </c>
      <c r="J2" s="10"/>
    </row>
    <row r="3" spans="1:11" s="8" customFormat="1" ht="12.75" x14ac:dyDescent="0.2">
      <c r="A3" s="11" t="s">
        <v>12</v>
      </c>
      <c r="B3" s="12">
        <v>0.51282292050202094</v>
      </c>
      <c r="C3" s="12">
        <v>0.51281821971764985</v>
      </c>
      <c r="F3" s="9"/>
      <c r="G3" s="9"/>
      <c r="H3" s="12">
        <v>0.51281301892732323</v>
      </c>
      <c r="I3" s="12">
        <v>0.51280744794612043</v>
      </c>
      <c r="J3" s="10"/>
    </row>
    <row r="4" spans="1:11" s="8" customFormat="1" ht="12.75" x14ac:dyDescent="0.2">
      <c r="A4" s="13" t="s">
        <v>13</v>
      </c>
      <c r="B4" s="14">
        <v>38.983600223927589</v>
      </c>
      <c r="C4" s="14">
        <v>38.983208686293978</v>
      </c>
      <c r="F4" s="9"/>
      <c r="G4" s="9"/>
      <c r="H4" s="14">
        <v>38.991181848548202</v>
      </c>
      <c r="I4" s="14">
        <v>38.989011523799782</v>
      </c>
      <c r="J4" s="10"/>
    </row>
    <row r="5" spans="1:11" s="8" customFormat="1" ht="12.75" x14ac:dyDescent="0.2">
      <c r="A5" s="13" t="s">
        <v>14</v>
      </c>
      <c r="B5" s="14">
        <v>15.652700920860482</v>
      </c>
      <c r="C5" s="14">
        <v>15.652658881502811</v>
      </c>
      <c r="F5" s="9"/>
      <c r="G5" s="9"/>
      <c r="H5" s="14">
        <v>15.656141430006061</v>
      </c>
      <c r="I5" s="14">
        <v>15.663260300475008</v>
      </c>
      <c r="J5" s="10"/>
    </row>
    <row r="6" spans="1:11" s="8" customFormat="1" ht="12.75" x14ac:dyDescent="0.2">
      <c r="A6" s="13" t="s">
        <v>15</v>
      </c>
      <c r="B6" s="14">
        <v>18.968785843169069</v>
      </c>
      <c r="C6" s="14">
        <v>18.969210672226506</v>
      </c>
      <c r="F6" s="9"/>
      <c r="G6" s="9"/>
      <c r="H6" s="14">
        <v>18.968206066902329</v>
      </c>
      <c r="I6" s="14">
        <v>18.948793376591986</v>
      </c>
      <c r="J6" s="10"/>
    </row>
    <row r="7" spans="1:11" s="8" customFormat="1" ht="12.75" x14ac:dyDescent="0.2">
      <c r="A7" s="15" t="s">
        <v>16</v>
      </c>
      <c r="B7" s="16">
        <f>(0.1084*B6)+13.491</f>
        <v>15.547216385399526</v>
      </c>
      <c r="C7" s="16">
        <f>(0.1084*C6)+13.491</f>
        <v>15.547262436869353</v>
      </c>
      <c r="F7" s="9"/>
      <c r="G7" s="9"/>
      <c r="H7" s="16">
        <f>(0.1084*H6)+13.491</f>
        <v>15.547153537652212</v>
      </c>
      <c r="I7" s="16">
        <f>(0.1084*I6)+13.491</f>
        <v>15.545049202022572</v>
      </c>
      <c r="J7" s="10"/>
    </row>
    <row r="8" spans="1:11" s="8" customFormat="1" ht="12.75" x14ac:dyDescent="0.2">
      <c r="A8" s="15" t="s">
        <v>17</v>
      </c>
      <c r="B8" s="16">
        <f>(1.209*B6)+15.627</f>
        <v>38.560262084391404</v>
      </c>
      <c r="C8" s="16">
        <f>(1.209*C6)+15.627</f>
        <v>38.560775702721848</v>
      </c>
      <c r="F8" s="9"/>
      <c r="G8" s="9"/>
      <c r="H8" s="16">
        <f>(1.209*H6)+15.627</f>
        <v>38.559561134884916</v>
      </c>
      <c r="I8" s="16">
        <f>(1.209*I6)+15.627</f>
        <v>38.536091192299715</v>
      </c>
      <c r="J8" s="10"/>
    </row>
    <row r="9" spans="1:11" s="8" customFormat="1" ht="12.75" x14ac:dyDescent="0.2">
      <c r="A9" s="17" t="s">
        <v>18</v>
      </c>
      <c r="B9" s="18">
        <v>0.28300709047155537</v>
      </c>
      <c r="C9" s="18">
        <v>0.28300483809712151</v>
      </c>
      <c r="F9" s="9"/>
      <c r="G9" s="9"/>
      <c r="H9" s="18">
        <v>0.28300933728620442</v>
      </c>
      <c r="I9" s="18">
        <v>0.28301023744090276</v>
      </c>
      <c r="J9" s="10"/>
    </row>
    <row r="10" spans="1:11" s="8" customFormat="1" ht="12.75" x14ac:dyDescent="0.2">
      <c r="A10" s="17" t="s">
        <v>19</v>
      </c>
      <c r="B10" s="19">
        <v>8.3137818297185362</v>
      </c>
      <c r="C10" s="19">
        <v>8.2341284540721205</v>
      </c>
      <c r="F10" s="9"/>
      <c r="G10" s="9"/>
      <c r="H10" s="19">
        <v>8.3932385881335669</v>
      </c>
      <c r="I10" s="19">
        <v>8.425071821209773</v>
      </c>
      <c r="J1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Altar Çağ</dc:creator>
  <cp:lastModifiedBy>Taha Altar Çağ</cp:lastModifiedBy>
  <dcterms:created xsi:type="dcterms:W3CDTF">2015-06-05T18:19:34Z</dcterms:created>
  <dcterms:modified xsi:type="dcterms:W3CDTF">2025-03-20T08:03:16Z</dcterms:modified>
</cp:coreProperties>
</file>